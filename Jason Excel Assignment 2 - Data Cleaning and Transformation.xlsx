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firstSheet="2" activeTab="5"/>
  </bookViews>
  <sheets>
    <sheet name="Handling Missing Values" sheetId="1" r:id="rId1"/>
    <sheet name="Correcting Inconsistent Data" sheetId="2" r:id="rId2"/>
    <sheet name="Removing Duplicates" sheetId="3" r:id="rId3"/>
    <sheet name="Splitting and Merging Data" sheetId="4" r:id="rId4"/>
    <sheet name="Number Formatting" sheetId="5" r:id="rId5"/>
    <sheet name="Conditional Formatting" sheetId="6" r:id="rId6"/>
  </sheets>
  <calcPr calcId="124519"/>
</workbook>
</file>

<file path=xl/calcChain.xml><?xml version="1.0" encoding="utf-8"?>
<calcChain xmlns="http://schemas.openxmlformats.org/spreadsheetml/2006/main">
  <c r="L22" i="5"/>
  <c r="L2"/>
  <c r="K2" i="6"/>
  <c r="G32"/>
  <c r="M32"/>
  <c r="L32"/>
  <c r="K32"/>
  <c r="J32"/>
  <c r="I32"/>
  <c r="H32"/>
  <c r="M31"/>
  <c r="L31"/>
  <c r="K31"/>
  <c r="J31"/>
  <c r="I31"/>
  <c r="H31"/>
  <c r="G31"/>
  <c r="M30"/>
  <c r="L30"/>
  <c r="K30"/>
  <c r="J30"/>
  <c r="I30"/>
  <c r="H30"/>
  <c r="G30"/>
  <c r="M29"/>
  <c r="L29"/>
  <c r="K29"/>
  <c r="J29"/>
  <c r="I29"/>
  <c r="H29"/>
  <c r="G29"/>
  <c r="M28"/>
  <c r="L28"/>
  <c r="K28"/>
  <c r="J28"/>
  <c r="I28"/>
  <c r="H28"/>
  <c r="G28"/>
  <c r="M27"/>
  <c r="L27"/>
  <c r="K27"/>
  <c r="J27"/>
  <c r="I27"/>
  <c r="H27"/>
  <c r="G27"/>
  <c r="K26"/>
  <c r="J26"/>
  <c r="I26"/>
  <c r="H26"/>
  <c r="G26"/>
  <c r="M25"/>
  <c r="L25"/>
  <c r="K25"/>
  <c r="J25"/>
  <c r="I25"/>
  <c r="H25"/>
  <c r="G25"/>
  <c r="M24"/>
  <c r="L24"/>
  <c r="K24"/>
  <c r="J24"/>
  <c r="I24"/>
  <c r="H24"/>
  <c r="G24"/>
  <c r="M23"/>
  <c r="L23"/>
  <c r="K23"/>
  <c r="J23"/>
  <c r="I23"/>
  <c r="H23"/>
  <c r="G23"/>
  <c r="M22"/>
  <c r="L22"/>
  <c r="K22"/>
  <c r="J22"/>
  <c r="I22"/>
  <c r="H22"/>
  <c r="G22"/>
  <c r="K21"/>
  <c r="L21" s="1"/>
  <c r="J21"/>
  <c r="I21"/>
  <c r="H21"/>
  <c r="G21"/>
  <c r="M20"/>
  <c r="L20"/>
  <c r="K20"/>
  <c r="J20"/>
  <c r="I20"/>
  <c r="H20"/>
  <c r="G20"/>
  <c r="M19"/>
  <c r="L19"/>
  <c r="K19"/>
  <c r="J19"/>
  <c r="I19"/>
  <c r="H19"/>
  <c r="G19"/>
  <c r="M18"/>
  <c r="L18"/>
  <c r="K18"/>
  <c r="J18"/>
  <c r="I18"/>
  <c r="G18"/>
  <c r="M17"/>
  <c r="L17"/>
  <c r="K17"/>
  <c r="J17"/>
  <c r="I17"/>
  <c r="H17"/>
  <c r="G17"/>
  <c r="M16"/>
  <c r="L16"/>
  <c r="K16"/>
  <c r="J16"/>
  <c r="I16"/>
  <c r="H16"/>
  <c r="G16"/>
  <c r="M15"/>
  <c r="L15"/>
  <c r="K15"/>
  <c r="J15"/>
  <c r="I15"/>
  <c r="H15"/>
  <c r="G15"/>
  <c r="H18" s="1"/>
  <c r="M14"/>
  <c r="L14"/>
  <c r="K14"/>
  <c r="J14"/>
  <c r="I14"/>
  <c r="H14"/>
  <c r="G14"/>
  <c r="M13"/>
  <c r="L13"/>
  <c r="K13"/>
  <c r="J13"/>
  <c r="I13"/>
  <c r="H13"/>
  <c r="G13"/>
  <c r="M12"/>
  <c r="L12"/>
  <c r="K12"/>
  <c r="J12"/>
  <c r="I12"/>
  <c r="H12"/>
  <c r="G12"/>
  <c r="M11"/>
  <c r="L11"/>
  <c r="K11"/>
  <c r="J11"/>
  <c r="I11"/>
  <c r="H11"/>
  <c r="G11"/>
  <c r="M10"/>
  <c r="L10"/>
  <c r="K10"/>
  <c r="J10"/>
  <c r="I10"/>
  <c r="H10"/>
  <c r="G10"/>
  <c r="M9"/>
  <c r="L9"/>
  <c r="K9"/>
  <c r="J9"/>
  <c r="I9"/>
  <c r="H9"/>
  <c r="G9"/>
  <c r="M8"/>
  <c r="L8"/>
  <c r="K8"/>
  <c r="J8"/>
  <c r="I8"/>
  <c r="H8"/>
  <c r="G8"/>
  <c r="K7"/>
  <c r="M7" s="1"/>
  <c r="J7"/>
  <c r="I7"/>
  <c r="H7"/>
  <c r="G7"/>
  <c r="M6"/>
  <c r="L6"/>
  <c r="K6"/>
  <c r="J6"/>
  <c r="I6"/>
  <c r="H6"/>
  <c r="G6"/>
  <c r="M5"/>
  <c r="L5"/>
  <c r="K5"/>
  <c r="J5"/>
  <c r="I5"/>
  <c r="H5"/>
  <c r="G5"/>
  <c r="M4"/>
  <c r="L4"/>
  <c r="K4"/>
  <c r="J4"/>
  <c r="I4"/>
  <c r="H4"/>
  <c r="G4"/>
  <c r="M3"/>
  <c r="L3"/>
  <c r="K3"/>
  <c r="J3"/>
  <c r="I3"/>
  <c r="H3"/>
  <c r="G3"/>
  <c r="M2"/>
  <c r="L2"/>
  <c r="M21"/>
  <c r="J2"/>
  <c r="I2"/>
  <c r="H2"/>
  <c r="G2"/>
  <c r="I18" i="1"/>
  <c r="C2" i="5"/>
  <c r="O4" i="1"/>
  <c r="O26"/>
  <c r="O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9"/>
  <c r="I20"/>
  <c r="I21"/>
  <c r="I22"/>
  <c r="I23"/>
  <c r="I24"/>
  <c r="I25"/>
  <c r="I26"/>
  <c r="I27"/>
  <c r="I28"/>
  <c r="I29"/>
  <c r="I30"/>
  <c r="I31"/>
  <c r="I32"/>
  <c r="I2"/>
  <c r="L3"/>
  <c r="L4"/>
  <c r="L5"/>
  <c r="L6"/>
  <c r="L8"/>
  <c r="L9"/>
  <c r="L10"/>
  <c r="L11"/>
  <c r="L12"/>
  <c r="L13"/>
  <c r="L14"/>
  <c r="L15"/>
  <c r="L16"/>
  <c r="L17"/>
  <c r="L18"/>
  <c r="L19"/>
  <c r="L20"/>
  <c r="L22"/>
  <c r="L23"/>
  <c r="L24"/>
  <c r="L25"/>
  <c r="L27"/>
  <c r="L28"/>
  <c r="L29"/>
  <c r="L30"/>
  <c r="L31"/>
  <c r="L32"/>
  <c r="L2"/>
  <c r="K4" i="5"/>
  <c r="K8"/>
  <c r="K12"/>
  <c r="K16"/>
  <c r="K20"/>
  <c r="K24"/>
  <c r="K28"/>
  <c r="K32"/>
  <c r="K2"/>
  <c r="B2"/>
  <c r="B3"/>
  <c r="K3" s="1"/>
  <c r="B4"/>
  <c r="L4" s="1"/>
  <c r="B5"/>
  <c r="L5" s="1"/>
  <c r="B6"/>
  <c r="K6" s="1"/>
  <c r="B7"/>
  <c r="K7" s="1"/>
  <c r="B8"/>
  <c r="L8" s="1"/>
  <c r="B9"/>
  <c r="L9" s="1"/>
  <c r="B10"/>
  <c r="K10" s="1"/>
  <c r="B11"/>
  <c r="K11" s="1"/>
  <c r="B12"/>
  <c r="L12" s="1"/>
  <c r="B13"/>
  <c r="L13" s="1"/>
  <c r="B14"/>
  <c r="K14" s="1"/>
  <c r="B15"/>
  <c r="K15" s="1"/>
  <c r="B16"/>
  <c r="L16" s="1"/>
  <c r="B17"/>
  <c r="L17" s="1"/>
  <c r="B18"/>
  <c r="K18" s="1"/>
  <c r="B19"/>
  <c r="K19" s="1"/>
  <c r="B20"/>
  <c r="L20" s="1"/>
  <c r="B21"/>
  <c r="L21" s="1"/>
  <c r="B22"/>
  <c r="K22" s="1"/>
  <c r="B23"/>
  <c r="K23" s="1"/>
  <c r="B24"/>
  <c r="L24" s="1"/>
  <c r="B25"/>
  <c r="L25" s="1"/>
  <c r="B26"/>
  <c r="K26" s="1"/>
  <c r="B27"/>
  <c r="K27" s="1"/>
  <c r="B28"/>
  <c r="L28" s="1"/>
  <c r="B29"/>
  <c r="L29" s="1"/>
  <c r="B30"/>
  <c r="K30" s="1"/>
  <c r="B31"/>
  <c r="K31" s="1"/>
  <c r="B32"/>
  <c r="L32" s="1"/>
  <c r="B33"/>
  <c r="L33" s="1"/>
  <c r="B34"/>
  <c r="K34" s="1"/>
  <c r="B35"/>
  <c r="K35" s="1"/>
  <c r="I35"/>
  <c r="C35"/>
  <c r="I34"/>
  <c r="C34"/>
  <c r="I33"/>
  <c r="C33"/>
  <c r="I32"/>
  <c r="C32"/>
  <c r="I31"/>
  <c r="C31"/>
  <c r="I30"/>
  <c r="C30"/>
  <c r="I29"/>
  <c r="C29"/>
  <c r="I28"/>
  <c r="C28"/>
  <c r="I27"/>
  <c r="C27"/>
  <c r="I26"/>
  <c r="C26"/>
  <c r="I25"/>
  <c r="C25"/>
  <c r="I24"/>
  <c r="C24"/>
  <c r="I23"/>
  <c r="C23"/>
  <c r="I22"/>
  <c r="C22"/>
  <c r="I21"/>
  <c r="C21"/>
  <c r="I20"/>
  <c r="C20"/>
  <c r="I19"/>
  <c r="C19"/>
  <c r="I18"/>
  <c r="C18"/>
  <c r="I17"/>
  <c r="C17"/>
  <c r="I16"/>
  <c r="C16"/>
  <c r="I15"/>
  <c r="C15"/>
  <c r="I14"/>
  <c r="C14"/>
  <c r="I13"/>
  <c r="C13"/>
  <c r="I12"/>
  <c r="C12"/>
  <c r="I11"/>
  <c r="C11"/>
  <c r="I10"/>
  <c r="C10"/>
  <c r="I9"/>
  <c r="C9"/>
  <c r="I8"/>
  <c r="C8"/>
  <c r="I7"/>
  <c r="C7"/>
  <c r="I6"/>
  <c r="C6"/>
  <c r="I5"/>
  <c r="C5"/>
  <c r="I4"/>
  <c r="C4"/>
  <c r="I3"/>
  <c r="C3"/>
  <c r="I2"/>
  <c r="C3" i="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2"/>
  <c r="G7" i="1"/>
  <c r="H11"/>
  <c r="H8"/>
  <c r="G18"/>
  <c r="H13"/>
  <c r="H5"/>
  <c r="H2"/>
  <c r="O14"/>
  <c r="O8"/>
  <c r="O16"/>
  <c r="O12"/>
  <c r="I18" i="4"/>
  <c r="I19"/>
  <c r="I20"/>
  <c r="I21"/>
  <c r="I22"/>
  <c r="I23"/>
  <c r="I24"/>
  <c r="I25"/>
  <c r="I26"/>
  <c r="I27"/>
  <c r="I28"/>
  <c r="I29"/>
  <c r="I30"/>
  <c r="I31"/>
  <c r="I32"/>
  <c r="I33"/>
  <c r="I34"/>
  <c r="I35"/>
  <c r="I17"/>
  <c r="I3"/>
  <c r="I4"/>
  <c r="I5"/>
  <c r="I6"/>
  <c r="I7"/>
  <c r="I8"/>
  <c r="I9"/>
  <c r="I10"/>
  <c r="I11"/>
  <c r="I12"/>
  <c r="I13"/>
  <c r="I14"/>
  <c r="I15"/>
  <c r="I16"/>
  <c r="I2"/>
  <c r="K24" i="1"/>
  <c r="K14"/>
  <c r="K2"/>
  <c r="L26" s="1"/>
  <c r="K32"/>
  <c r="K7"/>
  <c r="L7" s="1"/>
  <c r="K8"/>
  <c r="K9"/>
  <c r="K10"/>
  <c r="K11"/>
  <c r="K12"/>
  <c r="K13"/>
  <c r="K15"/>
  <c r="K16"/>
  <c r="K17"/>
  <c r="K18"/>
  <c r="K19"/>
  <c r="K20"/>
  <c r="K21"/>
  <c r="L21" s="1"/>
  <c r="K22"/>
  <c r="K23"/>
  <c r="K25"/>
  <c r="K26"/>
  <c r="K27"/>
  <c r="K28"/>
  <c r="K29"/>
  <c r="K30"/>
  <c r="K31"/>
  <c r="K5"/>
  <c r="K6"/>
  <c r="K3"/>
  <c r="K4"/>
  <c r="H3"/>
  <c r="H4"/>
  <c r="H6"/>
  <c r="H7"/>
  <c r="H9"/>
  <c r="H10"/>
  <c r="H12"/>
  <c r="H14"/>
  <c r="H15"/>
  <c r="H16"/>
  <c r="H17"/>
  <c r="H19"/>
  <c r="H20"/>
  <c r="H21"/>
  <c r="H22"/>
  <c r="H23"/>
  <c r="H24"/>
  <c r="H25"/>
  <c r="H26"/>
  <c r="H27"/>
  <c r="H28"/>
  <c r="H29"/>
  <c r="H30"/>
  <c r="H31"/>
  <c r="H32"/>
  <c r="G3"/>
  <c r="G4"/>
  <c r="G5"/>
  <c r="G6"/>
  <c r="G8"/>
  <c r="G9"/>
  <c r="G10"/>
  <c r="G11"/>
  <c r="G12"/>
  <c r="G13"/>
  <c r="G14"/>
  <c r="G15"/>
  <c r="H18" s="1"/>
  <c r="G16"/>
  <c r="G17"/>
  <c r="G19"/>
  <c r="G20"/>
  <c r="G21"/>
  <c r="G22"/>
  <c r="G23"/>
  <c r="G24"/>
  <c r="G25"/>
  <c r="G26"/>
  <c r="G27"/>
  <c r="G28"/>
  <c r="G29"/>
  <c r="G30"/>
  <c r="G31"/>
  <c r="G32"/>
  <c r="G2"/>
  <c r="L26" i="6" l="1"/>
  <c r="L7"/>
  <c r="M26"/>
  <c r="K33" i="5"/>
  <c r="K29"/>
  <c r="K25"/>
  <c r="K21"/>
  <c r="K17"/>
  <c r="K13"/>
  <c r="K9"/>
  <c r="K5"/>
  <c r="L34"/>
  <c r="L30"/>
  <c r="L26"/>
  <c r="L18"/>
  <c r="L14"/>
  <c r="L10"/>
  <c r="L6"/>
  <c r="L35"/>
  <c r="L31"/>
  <c r="L27"/>
  <c r="L23"/>
  <c r="L19"/>
  <c r="L15"/>
  <c r="L11"/>
  <c r="L7"/>
  <c r="L3"/>
</calcChain>
</file>

<file path=xl/sharedStrings.xml><?xml version="1.0" encoding="utf-8"?>
<sst xmlns="http://schemas.openxmlformats.org/spreadsheetml/2006/main" count="837" uniqueCount="131">
  <si>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</si>
  <si>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</si>
  <si>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</si>
  <si>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</si>
  <si>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</si>
  <si>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</si>
  <si>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</si>
  <si>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</si>
  <si>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</si>
  <si>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</si>
  <si>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</si>
  <si>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</si>
  <si>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</si>
  <si>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</si>
  <si>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</si>
  <si>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</si>
  <si>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</si>
  <si>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</si>
  <si>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</si>
  <si>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</si>
  <si>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</si>
  <si>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</si>
  <si>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</si>
  <si>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</si>
  <si>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</si>
  <si>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</si>
  <si>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</si>
  <si>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</si>
  <si>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</si>
  <si>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</si>
  <si>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</si>
  <si>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</si>
  <si>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</si>
  <si>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</si>
  <si>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</si>
  <si>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</si>
  <si>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</si>
  <si>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</si>
  <si>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</si>
  <si>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</si>
  <si>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</si>
  <si>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</si>
  <si>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</si>
  <si>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</si>
  <si>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</si>
  <si>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</si>
  <si>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</si>
  <si>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</si>
  <si>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</si>
  <si>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</si>
  <si>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</si>
  <si>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</si>
  <si>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</si>
  <si>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</si>
  <si>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</si>
  <si>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</si>
  <si>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</si>
  <si>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</si>
  <si>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</si>
  <si>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</si>
  <si>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</si>
  <si>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</si>
  <si>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</si>
  <si>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</si>
  <si>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</si>
  <si>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</si>
  <si>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</si>
  <si>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</si>
  <si>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</si>
  <si>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</si>
  <si>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</si>
  <si>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</si>
  <si>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</si>
  <si>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</si>
  <si>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</si>
  <si>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</si>
  <si>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</si>
  <si>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</si>
  <si>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</si>
  <si>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</si>
  <si>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</si>
  <si>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</si>
  <si>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</si>
  <si>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</si>
  <si>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</si>
  <si>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</si>
  <si>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</si>
  <si>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</si>
  <si>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</si>
  <si>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</si>
  <si>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</si>
  <si>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</si>
  <si>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</si>
  <si>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</si>
  <si>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</si>
  <si>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</si>
  <si>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</si>
  <si>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Missing Values in Cells</t>
  </si>
  <si>
    <t>Missing Values in "Price" Column</t>
  </si>
  <si>
    <t>ISBLANK Count - "Category"</t>
  </si>
  <si>
    <t>ISBLANK Count - "Price"</t>
  </si>
  <si>
    <t>IF ISBLANK - "Category" - Imputation</t>
  </si>
  <si>
    <t>Inconsistencies found in "Product Name" Column Where the 1st letter in Some of the Product names such as "Laptop" in Rows - 2 &amp; 19 , "Smartphones" in Row - 5 &amp; "Headphones" in Rows - 16 &amp; 29 was in "LOWER CASE" . So Standardized text format to "UPPER CASE" Letters using "Find and Replace" function in Excel.</t>
  </si>
  <si>
    <t>Also Found Typos or Misspelling for the name "Electroni" in "Category" Column specifically on Rows - 7,15,16,18 &amp; 29. So Using "Find and Replace" function by Clicking on keyboard shortcut "CTRL+F" in Excel &amp; Typed Name "Electroni" on "Find What" Search Box &amp; Typed Name "Electronics" on "Replace With" search box &amp; clicked on "Replace All" to Correct all incorrect Spelling of name "Electroni" to Correct Spelling of the name "Electronics" .</t>
  </si>
  <si>
    <t>Product Brand</t>
  </si>
  <si>
    <t>Manufacturing Date</t>
  </si>
  <si>
    <t>Country Code</t>
  </si>
  <si>
    <t>AVERAGE (MEAN) - "Price"</t>
  </si>
  <si>
    <t>COUNTBLANK - "Price"</t>
  </si>
  <si>
    <t>COUNTBLANK - "Category"</t>
  </si>
  <si>
    <t>COUNTBLANK Combined - "Price" + "Category"</t>
  </si>
  <si>
    <t>Total No. of Missing Values in Cells &amp; also Individually in "Price" &amp; "Category" Column was Found Through COUNTBLANK in-built function in Excel</t>
  </si>
  <si>
    <t>MEDIAN - "Price"</t>
  </si>
  <si>
    <t>AVERAGE IF - "Price" - Imputation</t>
  </si>
  <si>
    <t>Selected Product ID as Main Preference Column to remove Duplicate rows within the dataset based on the entirety of each row &amp; clicked on Data&gt;Data Tools&gt;Remove Duplicates, When pop-up stating"remove duplicates" opened, so selected "Expand the row",also checked on"Row containing Headers" &amp; Removed 3 Duplicate Product ID's - "17-JUN-IN" , "16-APR-ES" and "21-AUG-CA" , So found 31 unique Product IDs on the entirety of each row in the dataset.</t>
  </si>
  <si>
    <t>IF ISBLANK - "Price" - "ROUND" Integer Value</t>
  </si>
  <si>
    <t>Column "Price ($)" Convert to Currency Format</t>
  </si>
  <si>
    <t>Convert Column "Manufacturing Date" to Format "DD-MM-YYYY" : Year : 2026</t>
  </si>
  <si>
    <t>Convert Column "Manufacturing Date" to Format "DD-MM-YYYY : Year : 2025</t>
  </si>
  <si>
    <t>IF ISBLANK - "Price" - Imputation - "Mean"</t>
  </si>
  <si>
    <t>I Handled Products with Missing Price Information in "Price" Column with empty cells - I7,I21 &amp; I27 on Rows - 7,21 &amp; 27 using Statistical Imputation on Excel "IF ISBLANK" formula : IF(ISBLANK(D7),AVERAGE($D$2:$D$32),D7) &amp; also using "AVERAGE IF" formulae : IF(ISBLANK(D7),AVERAGE IF(K$2$:K32,K7,$D$2:$D$32),D7) on Column with empty cells - L7,L21 &amp; L27 on Rows - 7,21 &amp; 27 .</t>
  </si>
  <si>
    <t>I Handled Products with Missing Category Information in "Category" Column on empty cells - J6,J13,J14 &amp; J24 on Rows - 6,13,14 &amp; 24 using Constants or Default Values Such as "Unknown" also called categorical imputation on Excel using IF ISBLANK formula : IF(IS BLANK(F6),"Unknown",F6) .</t>
  </si>
  <si>
    <t>AVERAGE IF - "Price" - Imputation - "ROUND" - Integer Value</t>
  </si>
  <si>
    <t xml:space="preserve">I Merged the "Brand Name" and "Product Name" Columns into a single Column named "Product Brand" From Cells I2 to I16 using "CONCATENATE" Function in Excel : CONCATENATE(D2 " " E2) and from cells I17 to I35 using "Ampersand (&amp;)" function in excel : D18 &amp; " " &amp; E18 . </t>
  </si>
  <si>
    <t>I Splitted the "Product ID" Column into Two separate columns as "Manufacturing Date" using the In-built Excel formulae : LEFT(A2,LEN(A2)-3) &amp; "Country Code" using the In-built Excel formulae : RIGHT(A2,LEN(A2)-7) .</t>
  </si>
  <si>
    <t>AVERAGE(MEAN) - "Price" after Imputation</t>
  </si>
  <si>
    <t>MEDIAN - "Price" after Imputation</t>
  </si>
  <si>
    <t>Used "Conditional Formatting" function on ribbon called "Styles" in excel, So Applied "Purple Colour" Data Bar on "Price Column D" ,"Orangeish Yellow Colour" Data Bars on "Price Columns L and M" &amp; used "Light and Dark orange" colour scales on "Price Coumns I and J" .</t>
  </si>
  <si>
    <t>Used "Conditional Formatting" function on ribbon called "Styles" in excel , So Applied custom rule for conditional formatting in the "Category" - "F" Column &amp; used the function "Highlight Cell Rules" &gt; "Text that Contains" to highlight cells where the category is "Electronics" by using Colour scale "Light Red fill with Dark Red Text" .</t>
  </si>
  <si>
    <t>Formatted "Column  b" - "Manufacturing date into "DD-MM-YYYY" format by using the keyboard function "CTRL+1" , then changed Text Format "28-JAN" to Number Format using the year : 2026 by using excel formulae "TEXT(B2, "DD-MM-YYYY) on "Column K" &amp; got DATE : 28-01-2026 &amp; also by using the year : 2025 with excel formulae "DATEVALUE(B2 &amp; "-2025") on "Column L" &amp; got DATE : 28-01-2025 . So Applied Date Formats "DD-MM-YYYY" on all the rows of Colums B,L &amp; K &amp; So Formatted all the "Manufacturing Dates" Accordingly .</t>
  </si>
  <si>
    <t>So Formatted the data type of the "Price Column J" to "Currency Format" by Selecting entire "Price Column J" &amp; by selecting "Currency" function on the ribbon called "Number" in excel.So Applied "Currency Formats" from "1000" to "1000.00" on all the rows of Price Column J &amp; so Formatted Accordingly.</t>
  </si>
</sst>
</file>

<file path=xl/styles.xml><?xml version="1.0" encoding="utf-8"?>
<styleSheet xmlns="http://schemas.openxmlformats.org/spreadsheetml/2006/main">
  <numFmts count="1">
    <numFmt numFmtId="164" formatCode="&quot;Rs.&quot;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rgb="FFE0F7FA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rgb="FFE0F7FA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rgb="FFE0F7F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rgb="FFE0F7FA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/>
    <xf numFmtId="0" fontId="1" fillId="5" borderId="4" xfId="0" applyFont="1" applyFill="1" applyBorder="1" applyAlignment="1">
      <alignment horizontal="center" vertical="center"/>
    </xf>
    <xf numFmtId="0" fontId="0" fillId="9" borderId="3" xfId="0" applyFill="1" applyBorder="1"/>
    <xf numFmtId="0" fontId="0" fillId="11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13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1" xfId="0" applyFill="1" applyBorder="1"/>
    <xf numFmtId="0" fontId="0" fillId="15" borderId="1" xfId="0" applyFill="1" applyBorder="1"/>
    <xf numFmtId="0" fontId="0" fillId="15" borderId="3" xfId="0" applyFill="1" applyBorder="1"/>
    <xf numFmtId="0" fontId="3" fillId="21" borderId="0" xfId="0" applyFont="1" applyFill="1" applyAlignment="1">
      <alignment horizontal="center" vertical="center"/>
    </xf>
    <xf numFmtId="0" fontId="0" fillId="22" borderId="1" xfId="0" applyNumberForma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6" borderId="7" xfId="0" applyFill="1" applyBorder="1"/>
    <xf numFmtId="0" fontId="0" fillId="9" borderId="8" xfId="0" applyFill="1" applyBorder="1"/>
    <xf numFmtId="0" fontId="0" fillId="10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17" borderId="0" xfId="0" applyFill="1" applyAlignment="1">
      <alignment horizontal="center" vertical="center" wrapText="1"/>
    </xf>
    <xf numFmtId="0" fontId="0" fillId="17" borderId="8" xfId="0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4" fontId="0" fillId="17" borderId="7" xfId="0" applyNumberForma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 wrapText="1"/>
    </xf>
    <xf numFmtId="14" fontId="0" fillId="24" borderId="7" xfId="0" applyNumberFormat="1" applyFill="1" applyBorder="1" applyAlignment="1">
      <alignment horizontal="center" vertical="center"/>
    </xf>
    <xf numFmtId="14" fontId="0" fillId="2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26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opLeftCell="N19" zoomScale="106" zoomScaleNormal="106" workbookViewId="0">
      <selection activeCell="O23" sqref="O23"/>
    </sheetView>
  </sheetViews>
  <sheetFormatPr defaultRowHeight="15"/>
  <cols>
    <col min="1" max="1" width="13.140625" customWidth="1"/>
    <col min="2" max="2" width="15.42578125" customWidth="1"/>
    <col min="3" max="3" width="13.140625" customWidth="1"/>
    <col min="4" max="4" width="11.140625" customWidth="1"/>
    <col min="5" max="5" width="10.28515625" customWidth="1"/>
    <col min="6" max="6" width="14.140625" customWidth="1"/>
    <col min="7" max="7" width="26" customWidth="1"/>
    <col min="8" max="8" width="29.85546875" customWidth="1"/>
    <col min="9" max="9" width="43" customWidth="1"/>
    <col min="10" max="10" width="46.42578125" customWidth="1"/>
    <col min="11" max="12" width="37" customWidth="1"/>
    <col min="13" max="13" width="61" customWidth="1"/>
    <col min="14" max="14" width="45" customWidth="1"/>
    <col min="15" max="15" width="41" customWidth="1"/>
    <col min="16" max="16" width="48" customWidth="1"/>
  </cols>
  <sheetData>
    <row r="1" spans="1:15" ht="15.75" thickBo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100</v>
      </c>
      <c r="H1" s="52" t="s">
        <v>99</v>
      </c>
      <c r="I1" s="52" t="s">
        <v>119</v>
      </c>
      <c r="J1" s="52" t="s">
        <v>115</v>
      </c>
      <c r="K1" s="52" t="s">
        <v>101</v>
      </c>
      <c r="L1" s="52" t="s">
        <v>113</v>
      </c>
      <c r="M1" s="52" t="s">
        <v>122</v>
      </c>
    </row>
    <row r="2" spans="1:15" ht="15.75" thickBo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46" t="b">
        <f t="shared" ref="G2:G17" si="0">ISBLANK(D2)</f>
        <v>0</v>
      </c>
      <c r="H2" s="47" t="b">
        <f t="shared" ref="H2:H17" si="1">ISBLANK(F2)</f>
        <v>0</v>
      </c>
      <c r="I2" s="48">
        <f>IF(ISBLANK(D2),AVERAGE($D$2:$D$32),D2)</f>
        <v>1000</v>
      </c>
      <c r="J2" s="48">
        <f>IF(ISBLANK(D2),ROUND(AVERAGE($D$2:$D$32),0),D2)</f>
        <v>1000</v>
      </c>
      <c r="K2" s="49" t="str">
        <f t="shared" ref="K2:K32" si="2">IF(ISBLANK(F2),"Unknown",F2)</f>
        <v>Electronics</v>
      </c>
      <c r="L2" s="50">
        <f>IF(ISBLANK(D2),AVERAGEIF($K$2:$K$32,K2,$D$2:$D$32),D2)</f>
        <v>1000</v>
      </c>
      <c r="M2" s="62">
        <f>IF(ISBLANK(D2),ROUND(AVERAGEIF($K$2:$K$32,K2,$D$2:$D$32),0),D2)</f>
        <v>1000</v>
      </c>
      <c r="N2" s="63" t="s">
        <v>125</v>
      </c>
      <c r="O2" s="65">
        <f>AVERAGE(L2:L32)</f>
        <v>281.63440860215053</v>
      </c>
    </row>
    <row r="3" spans="1:15" ht="15.75" thickBo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7" t="b">
        <f t="shared" si="0"/>
        <v>0</v>
      </c>
      <c r="H3" s="9" t="b">
        <f t="shared" si="1"/>
        <v>0</v>
      </c>
      <c r="I3" s="48">
        <f t="shared" ref="I3:I32" si="3">IF(ISBLANK(D3),AVERAGE($D$2:$D$32),D3)</f>
        <v>80</v>
      </c>
      <c r="J3" s="48">
        <f t="shared" ref="J3:J32" si="4">IF(ISBLANK(D3),ROUND(AVERAGE($D$2:$D$32),0),D3)</f>
        <v>80</v>
      </c>
      <c r="K3" s="10" t="str">
        <f t="shared" si="2"/>
        <v>Fashion</v>
      </c>
      <c r="L3" s="40">
        <f t="shared" ref="L3:L32" si="5">IF(ISBLANK(D3),AVERAGEIF($K$2:$K$32,K3,$D$2:$D$32),D3)</f>
        <v>80</v>
      </c>
      <c r="M3" s="40">
        <f t="shared" ref="M3:M32" si="6">IF(ISBLANK(D3),ROUND(AVERAGEIF($K$2:$K$32,K3,$D$2:$D$32),0),D3)</f>
        <v>80</v>
      </c>
    </row>
    <row r="4" spans="1:15" ht="15.75" thickBo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7" t="b">
        <f t="shared" si="0"/>
        <v>0</v>
      </c>
      <c r="H4" s="9" t="b">
        <f t="shared" si="1"/>
        <v>0</v>
      </c>
      <c r="I4" s="48">
        <f t="shared" si="3"/>
        <v>130</v>
      </c>
      <c r="J4" s="48">
        <f t="shared" si="4"/>
        <v>130</v>
      </c>
      <c r="K4" s="10" t="str">
        <f t="shared" si="2"/>
        <v>Kitchen</v>
      </c>
      <c r="L4" s="40">
        <f t="shared" si="5"/>
        <v>130</v>
      </c>
      <c r="M4" s="40">
        <f t="shared" si="6"/>
        <v>130</v>
      </c>
      <c r="N4" s="44" t="s">
        <v>112</v>
      </c>
      <c r="O4" s="33">
        <f>MEDIAN(D2:D32)</f>
        <v>130</v>
      </c>
    </row>
    <row r="5" spans="1:1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7" t="b">
        <f t="shared" si="0"/>
        <v>0</v>
      </c>
      <c r="H5" s="9" t="b">
        <f t="shared" si="1"/>
        <v>0</v>
      </c>
      <c r="I5" s="48">
        <f t="shared" si="3"/>
        <v>900</v>
      </c>
      <c r="J5" s="48">
        <f t="shared" si="4"/>
        <v>900</v>
      </c>
      <c r="K5" s="10" t="str">
        <f t="shared" si="2"/>
        <v>Electronics</v>
      </c>
      <c r="L5" s="40">
        <f t="shared" si="5"/>
        <v>900</v>
      </c>
      <c r="M5" s="40">
        <f t="shared" si="6"/>
        <v>900</v>
      </c>
    </row>
    <row r="6" spans="1:15">
      <c r="A6" s="16" t="s">
        <v>21</v>
      </c>
      <c r="B6" s="16" t="s">
        <v>22</v>
      </c>
      <c r="C6" s="16" t="s">
        <v>23</v>
      </c>
      <c r="D6" s="16">
        <v>70</v>
      </c>
      <c r="E6" s="16">
        <v>20</v>
      </c>
      <c r="F6" s="16"/>
      <c r="G6" s="35" t="b">
        <f t="shared" si="0"/>
        <v>0</v>
      </c>
      <c r="H6" s="36" t="b">
        <f t="shared" si="1"/>
        <v>1</v>
      </c>
      <c r="I6" s="48">
        <f t="shared" si="3"/>
        <v>70</v>
      </c>
      <c r="J6" s="48">
        <f t="shared" si="4"/>
        <v>70</v>
      </c>
      <c r="K6" s="27" t="str">
        <f t="shared" si="2"/>
        <v>Unknown</v>
      </c>
      <c r="L6" s="40">
        <f t="shared" si="5"/>
        <v>70</v>
      </c>
      <c r="M6" s="40">
        <f t="shared" si="6"/>
        <v>70</v>
      </c>
      <c r="O6" s="4" t="s">
        <v>97</v>
      </c>
    </row>
    <row r="7" spans="1:15" ht="15.75" thickBot="1">
      <c r="A7" s="15" t="s">
        <v>24</v>
      </c>
      <c r="B7" s="15" t="s">
        <v>25</v>
      </c>
      <c r="C7" s="15" t="s">
        <v>26</v>
      </c>
      <c r="D7" s="15"/>
      <c r="E7" s="15">
        <v>45</v>
      </c>
      <c r="F7" s="15" t="s">
        <v>27</v>
      </c>
      <c r="G7" s="34" t="b">
        <f t="shared" si="0"/>
        <v>1</v>
      </c>
      <c r="H7" s="9" t="b">
        <f t="shared" si="1"/>
        <v>0</v>
      </c>
      <c r="I7" s="53">
        <f t="shared" si="3"/>
        <v>297.85714285714283</v>
      </c>
      <c r="J7" s="53">
        <f t="shared" si="4"/>
        <v>298</v>
      </c>
      <c r="K7" s="10" t="str">
        <f t="shared" si="2"/>
        <v>Electroni</v>
      </c>
      <c r="L7" s="45">
        <f t="shared" si="5"/>
        <v>186.66666666666666</v>
      </c>
      <c r="M7" s="45">
        <f t="shared" si="6"/>
        <v>187</v>
      </c>
    </row>
    <row r="8" spans="1:15" ht="15.75" thickBo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7" t="b">
        <f t="shared" si="0"/>
        <v>0</v>
      </c>
      <c r="H8" s="9" t="b">
        <f t="shared" si="1"/>
        <v>0</v>
      </c>
      <c r="I8" s="48">
        <f t="shared" si="3"/>
        <v>30</v>
      </c>
      <c r="J8" s="48">
        <f t="shared" si="4"/>
        <v>30</v>
      </c>
      <c r="K8" s="10" t="str">
        <f t="shared" si="2"/>
        <v>Fashion</v>
      </c>
      <c r="L8" s="40">
        <f t="shared" si="5"/>
        <v>30</v>
      </c>
      <c r="M8" s="40">
        <f t="shared" si="6"/>
        <v>30</v>
      </c>
      <c r="N8" s="8" t="s">
        <v>110</v>
      </c>
      <c r="O8" s="5">
        <f>COUNTBLANK(A2:F32)</f>
        <v>7</v>
      </c>
    </row>
    <row r="9" spans="1:1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7" t="b">
        <f t="shared" si="0"/>
        <v>0</v>
      </c>
      <c r="H9" s="9" t="b">
        <f t="shared" si="1"/>
        <v>0</v>
      </c>
      <c r="I9" s="48">
        <f t="shared" si="3"/>
        <v>90</v>
      </c>
      <c r="J9" s="48">
        <f t="shared" si="4"/>
        <v>90</v>
      </c>
      <c r="K9" s="10" t="str">
        <f t="shared" si="2"/>
        <v>Kitchen</v>
      </c>
      <c r="L9" s="40">
        <f t="shared" si="5"/>
        <v>90</v>
      </c>
      <c r="M9" s="40">
        <f t="shared" si="6"/>
        <v>90</v>
      </c>
    </row>
    <row r="10" spans="1:1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13" t="s">
        <v>9</v>
      </c>
      <c r="G10" s="7" t="b">
        <f t="shared" si="0"/>
        <v>0</v>
      </c>
      <c r="H10" s="9" t="b">
        <f t="shared" si="1"/>
        <v>0</v>
      </c>
      <c r="I10" s="48">
        <f t="shared" si="3"/>
        <v>500</v>
      </c>
      <c r="J10" s="48">
        <f t="shared" si="4"/>
        <v>500</v>
      </c>
      <c r="K10" s="10" t="str">
        <f t="shared" si="2"/>
        <v>Electronics</v>
      </c>
      <c r="L10" s="40">
        <f t="shared" si="5"/>
        <v>500</v>
      </c>
      <c r="M10" s="40">
        <f t="shared" si="6"/>
        <v>500</v>
      </c>
      <c r="N10" s="14"/>
      <c r="O10" s="6" t="s">
        <v>98</v>
      </c>
    </row>
    <row r="11" spans="1:15" ht="15.75" thickBo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s="7" t="b">
        <f t="shared" si="0"/>
        <v>0</v>
      </c>
      <c r="H11" s="9" t="b">
        <f t="shared" si="1"/>
        <v>0</v>
      </c>
      <c r="I11" s="48">
        <f t="shared" si="3"/>
        <v>130</v>
      </c>
      <c r="J11" s="48">
        <f t="shared" si="4"/>
        <v>130</v>
      </c>
      <c r="K11" s="10" t="str">
        <f t="shared" si="2"/>
        <v>Outdoor</v>
      </c>
      <c r="L11" s="40">
        <f t="shared" si="5"/>
        <v>130</v>
      </c>
      <c r="M11" s="40">
        <f t="shared" si="6"/>
        <v>130</v>
      </c>
    </row>
    <row r="12" spans="1:15" ht="15.75" thickBot="1">
      <c r="A12" s="31" t="s">
        <v>41</v>
      </c>
      <c r="B12" s="31" t="s">
        <v>42</v>
      </c>
      <c r="C12" s="31" t="s">
        <v>43</v>
      </c>
      <c r="D12" s="31">
        <v>950</v>
      </c>
      <c r="E12" s="31">
        <v>25</v>
      </c>
      <c r="F12" s="31" t="s">
        <v>9</v>
      </c>
      <c r="G12" s="7" t="b">
        <f t="shared" si="0"/>
        <v>0</v>
      </c>
      <c r="H12" s="9" t="b">
        <f t="shared" si="1"/>
        <v>0</v>
      </c>
      <c r="I12" s="48">
        <f t="shared" si="3"/>
        <v>950</v>
      </c>
      <c r="J12" s="48">
        <f t="shared" si="4"/>
        <v>950</v>
      </c>
      <c r="K12" s="10" t="str">
        <f t="shared" si="2"/>
        <v>Electronics</v>
      </c>
      <c r="L12" s="40">
        <f t="shared" si="5"/>
        <v>950</v>
      </c>
      <c r="M12" s="40">
        <f t="shared" si="6"/>
        <v>950</v>
      </c>
      <c r="N12" s="8" t="s">
        <v>108</v>
      </c>
      <c r="O12" s="5">
        <f>COUNTBLANK(D2:D32)</f>
        <v>3</v>
      </c>
    </row>
    <row r="13" spans="1:15" ht="15.75" thickBot="1">
      <c r="A13" s="37" t="s">
        <v>44</v>
      </c>
      <c r="B13" s="37" t="s">
        <v>11</v>
      </c>
      <c r="C13" s="37" t="s">
        <v>30</v>
      </c>
      <c r="D13" s="37">
        <v>90</v>
      </c>
      <c r="E13" s="37">
        <v>40</v>
      </c>
      <c r="F13" s="37"/>
      <c r="G13" s="35" t="b">
        <f t="shared" si="0"/>
        <v>0</v>
      </c>
      <c r="H13" s="36" t="b">
        <f t="shared" si="1"/>
        <v>1</v>
      </c>
      <c r="I13" s="48">
        <f t="shared" si="3"/>
        <v>90</v>
      </c>
      <c r="J13" s="48">
        <f t="shared" si="4"/>
        <v>90</v>
      </c>
      <c r="K13" s="27" t="str">
        <f t="shared" si="2"/>
        <v>Unknown</v>
      </c>
      <c r="L13" s="40">
        <f t="shared" si="5"/>
        <v>90</v>
      </c>
      <c r="M13" s="40">
        <f t="shared" si="6"/>
        <v>90</v>
      </c>
    </row>
    <row r="14" spans="1:15" ht="15.75" thickBot="1">
      <c r="A14" s="16" t="s">
        <v>45</v>
      </c>
      <c r="B14" s="16" t="s">
        <v>15</v>
      </c>
      <c r="C14" s="16" t="s">
        <v>46</v>
      </c>
      <c r="D14" s="16">
        <v>120</v>
      </c>
      <c r="E14" s="16">
        <v>35</v>
      </c>
      <c r="F14" s="16"/>
      <c r="G14" s="35" t="b">
        <f t="shared" si="0"/>
        <v>0</v>
      </c>
      <c r="H14" s="36" t="b">
        <f t="shared" si="1"/>
        <v>1</v>
      </c>
      <c r="I14" s="48">
        <f t="shared" si="3"/>
        <v>120</v>
      </c>
      <c r="J14" s="48">
        <f t="shared" si="4"/>
        <v>120</v>
      </c>
      <c r="K14" s="27" t="str">
        <f t="shared" si="2"/>
        <v>Unknown</v>
      </c>
      <c r="L14" s="40">
        <f t="shared" si="5"/>
        <v>120</v>
      </c>
      <c r="M14" s="40">
        <f t="shared" si="6"/>
        <v>120</v>
      </c>
      <c r="N14" s="26" t="s">
        <v>107</v>
      </c>
      <c r="O14" s="64">
        <f>AVERAGE(D2:D32)</f>
        <v>297.85714285714283</v>
      </c>
    </row>
    <row r="15" spans="1:15" ht="15.75" thickBo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G15" s="7" t="b">
        <f t="shared" si="0"/>
        <v>0</v>
      </c>
      <c r="H15" s="9" t="b">
        <f t="shared" si="1"/>
        <v>0</v>
      </c>
      <c r="I15" s="48">
        <f t="shared" si="3"/>
        <v>150</v>
      </c>
      <c r="J15" s="48">
        <f t="shared" si="4"/>
        <v>150</v>
      </c>
      <c r="K15" s="10" t="str">
        <f t="shared" si="2"/>
        <v>Electroni</v>
      </c>
      <c r="L15" s="40">
        <f t="shared" si="5"/>
        <v>150</v>
      </c>
      <c r="M15" s="40">
        <f t="shared" si="6"/>
        <v>150</v>
      </c>
    </row>
    <row r="16" spans="1:15" ht="13.5" customHeight="1" thickBot="1">
      <c r="A16" s="31" t="s">
        <v>50</v>
      </c>
      <c r="B16" s="31" t="s">
        <v>51</v>
      </c>
      <c r="C16" s="31" t="s">
        <v>52</v>
      </c>
      <c r="D16" s="31">
        <v>250</v>
      </c>
      <c r="E16" s="31">
        <v>20</v>
      </c>
      <c r="F16" s="31" t="s">
        <v>27</v>
      </c>
      <c r="G16" s="7" t="b">
        <f t="shared" si="0"/>
        <v>0</v>
      </c>
      <c r="H16" s="9" t="b">
        <f t="shared" si="1"/>
        <v>0</v>
      </c>
      <c r="I16" s="48">
        <f t="shared" si="3"/>
        <v>250</v>
      </c>
      <c r="J16" s="48">
        <f t="shared" si="4"/>
        <v>250</v>
      </c>
      <c r="K16" s="10" t="str">
        <f t="shared" si="2"/>
        <v>Electroni</v>
      </c>
      <c r="L16" s="40">
        <f t="shared" si="5"/>
        <v>250</v>
      </c>
      <c r="M16" s="40">
        <f t="shared" si="6"/>
        <v>250</v>
      </c>
      <c r="N16" s="39" t="s">
        <v>109</v>
      </c>
      <c r="O16" s="5">
        <f>COUNTBLANK(F2:F32)</f>
        <v>4</v>
      </c>
    </row>
    <row r="17" spans="1:16">
      <c r="A17" s="32" t="s">
        <v>53</v>
      </c>
      <c r="B17" s="32" t="s">
        <v>54</v>
      </c>
      <c r="C17" s="32" t="s">
        <v>55</v>
      </c>
      <c r="D17" s="32">
        <v>50</v>
      </c>
      <c r="E17" s="32">
        <v>35</v>
      </c>
      <c r="F17" s="32" t="s">
        <v>56</v>
      </c>
      <c r="G17" s="7" t="b">
        <f t="shared" si="0"/>
        <v>0</v>
      </c>
      <c r="H17" s="9" t="b">
        <f t="shared" si="1"/>
        <v>0</v>
      </c>
      <c r="I17" s="48">
        <f t="shared" si="3"/>
        <v>50</v>
      </c>
      <c r="J17" s="48">
        <f t="shared" si="4"/>
        <v>50</v>
      </c>
      <c r="K17" s="10" t="str">
        <f t="shared" si="2"/>
        <v>Accessories</v>
      </c>
      <c r="L17" s="40">
        <f t="shared" si="5"/>
        <v>50</v>
      </c>
      <c r="M17" s="40">
        <f t="shared" si="6"/>
        <v>50</v>
      </c>
    </row>
    <row r="18" spans="1:16" ht="60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G18" s="7" t="b">
        <f>F7=ISBLANK(D18)</f>
        <v>0</v>
      </c>
      <c r="H18" s="9" t="b">
        <f>G15=ISBLANK(F18)</f>
        <v>1</v>
      </c>
      <c r="I18" s="48">
        <f t="shared" si="3"/>
        <v>160</v>
      </c>
      <c r="J18" s="48">
        <f t="shared" si="4"/>
        <v>160</v>
      </c>
      <c r="K18" s="10" t="str">
        <f t="shared" si="2"/>
        <v>Electroni</v>
      </c>
      <c r="L18" s="40">
        <f t="shared" si="5"/>
        <v>160</v>
      </c>
      <c r="M18" s="40">
        <f t="shared" si="6"/>
        <v>160</v>
      </c>
      <c r="O18" s="25" t="s">
        <v>111</v>
      </c>
    </row>
    <row r="19" spans="1:1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G19" s="7" t="b">
        <f t="shared" ref="G19:G32" si="7">ISBLANK(D19)</f>
        <v>0</v>
      </c>
      <c r="H19" s="9" t="b">
        <f t="shared" ref="H19:H32" si="8">ISBLANK(F19)</f>
        <v>0</v>
      </c>
      <c r="I19" s="48">
        <f t="shared" si="3"/>
        <v>980</v>
      </c>
      <c r="J19" s="48">
        <f t="shared" si="4"/>
        <v>980</v>
      </c>
      <c r="K19" s="10" t="str">
        <f t="shared" si="2"/>
        <v>Electronics</v>
      </c>
      <c r="L19" s="40">
        <f t="shared" si="5"/>
        <v>980</v>
      </c>
      <c r="M19" s="40">
        <f t="shared" si="6"/>
        <v>980</v>
      </c>
    </row>
    <row r="20" spans="1:16" ht="16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s="7" t="b">
        <f t="shared" si="7"/>
        <v>0</v>
      </c>
      <c r="H20" s="9" t="b">
        <f t="shared" si="8"/>
        <v>0</v>
      </c>
      <c r="I20" s="48">
        <f t="shared" si="3"/>
        <v>150</v>
      </c>
      <c r="J20" s="48">
        <f t="shared" si="4"/>
        <v>150</v>
      </c>
      <c r="K20" s="10" t="str">
        <f t="shared" si="2"/>
        <v>Fashion</v>
      </c>
      <c r="L20" s="40">
        <f t="shared" si="5"/>
        <v>150</v>
      </c>
      <c r="M20" s="40">
        <f t="shared" si="6"/>
        <v>150</v>
      </c>
      <c r="O20" s="22" t="s">
        <v>120</v>
      </c>
      <c r="P20" s="38" t="s">
        <v>114</v>
      </c>
    </row>
    <row r="21" spans="1:16">
      <c r="A21" s="15" t="s">
        <v>64</v>
      </c>
      <c r="B21" s="15" t="s">
        <v>65</v>
      </c>
      <c r="C21" s="15" t="s">
        <v>66</v>
      </c>
      <c r="D21" s="15"/>
      <c r="E21" s="15">
        <v>10</v>
      </c>
      <c r="F21" s="15" t="s">
        <v>40</v>
      </c>
      <c r="G21" s="34" t="b">
        <f t="shared" si="7"/>
        <v>1</v>
      </c>
      <c r="H21" s="9" t="b">
        <f t="shared" si="8"/>
        <v>0</v>
      </c>
      <c r="I21" s="53">
        <f t="shared" si="3"/>
        <v>297.85714285714283</v>
      </c>
      <c r="J21" s="53">
        <f t="shared" si="4"/>
        <v>298</v>
      </c>
      <c r="K21" s="10" t="str">
        <f t="shared" si="2"/>
        <v>Outdoor</v>
      </c>
      <c r="L21" s="45">
        <f t="shared" si="5"/>
        <v>130</v>
      </c>
      <c r="M21" s="45">
        <f t="shared" si="6"/>
        <v>130</v>
      </c>
    </row>
    <row r="22" spans="1:1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s="7" t="b">
        <f t="shared" si="7"/>
        <v>0</v>
      </c>
      <c r="H22" s="9" t="b">
        <f t="shared" si="8"/>
        <v>0</v>
      </c>
      <c r="I22" s="48">
        <f t="shared" si="3"/>
        <v>700</v>
      </c>
      <c r="J22" s="48">
        <f t="shared" si="4"/>
        <v>700</v>
      </c>
      <c r="K22" s="10" t="str">
        <f t="shared" si="2"/>
        <v>Electronics</v>
      </c>
      <c r="L22" s="40">
        <f t="shared" si="5"/>
        <v>700</v>
      </c>
      <c r="M22" s="40">
        <f t="shared" si="6"/>
        <v>700</v>
      </c>
    </row>
    <row r="23" spans="1:16" ht="10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s="7" t="b">
        <f t="shared" si="7"/>
        <v>0</v>
      </c>
      <c r="H23" s="9" t="b">
        <f t="shared" si="8"/>
        <v>0</v>
      </c>
      <c r="I23" s="48">
        <f t="shared" si="3"/>
        <v>80</v>
      </c>
      <c r="J23" s="48">
        <f t="shared" si="4"/>
        <v>80</v>
      </c>
      <c r="K23" s="10" t="str">
        <f t="shared" si="2"/>
        <v>Kitchen</v>
      </c>
      <c r="L23" s="40">
        <f t="shared" si="5"/>
        <v>80</v>
      </c>
      <c r="M23" s="40">
        <f t="shared" si="6"/>
        <v>80</v>
      </c>
      <c r="O23" s="28" t="s">
        <v>121</v>
      </c>
    </row>
    <row r="24" spans="1:16">
      <c r="A24" s="16" t="s">
        <v>73</v>
      </c>
      <c r="B24" s="16" t="s">
        <v>74</v>
      </c>
      <c r="C24" s="16" t="s">
        <v>75</v>
      </c>
      <c r="D24" s="16">
        <v>150</v>
      </c>
      <c r="E24" s="16">
        <v>30</v>
      </c>
      <c r="F24" s="16"/>
      <c r="G24" s="35" t="b">
        <f t="shared" si="7"/>
        <v>0</v>
      </c>
      <c r="H24" s="36" t="b">
        <f t="shared" si="8"/>
        <v>1</v>
      </c>
      <c r="I24" s="48">
        <f t="shared" si="3"/>
        <v>150</v>
      </c>
      <c r="J24" s="48">
        <f t="shared" si="4"/>
        <v>150</v>
      </c>
      <c r="K24" s="27" t="str">
        <f t="shared" si="2"/>
        <v>Unknown</v>
      </c>
      <c r="L24" s="40">
        <f t="shared" si="5"/>
        <v>150</v>
      </c>
      <c r="M24" s="40">
        <f t="shared" si="6"/>
        <v>150</v>
      </c>
    </row>
    <row r="25" spans="1:16" ht="15.75" thickBot="1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s="7" t="b">
        <f t="shared" si="7"/>
        <v>0</v>
      </c>
      <c r="H25" s="9" t="b">
        <f t="shared" si="8"/>
        <v>0</v>
      </c>
      <c r="I25" s="48">
        <f t="shared" si="3"/>
        <v>800</v>
      </c>
      <c r="J25" s="48">
        <f t="shared" si="4"/>
        <v>800</v>
      </c>
      <c r="K25" s="10" t="str">
        <f t="shared" si="2"/>
        <v>Electronics</v>
      </c>
      <c r="L25" s="40">
        <f t="shared" si="5"/>
        <v>800</v>
      </c>
      <c r="M25" s="40">
        <f t="shared" si="6"/>
        <v>800</v>
      </c>
    </row>
    <row r="26" spans="1:16" ht="15.75" thickBot="1">
      <c r="A26" s="15" t="s">
        <v>79</v>
      </c>
      <c r="B26" s="15" t="s">
        <v>62</v>
      </c>
      <c r="C26" s="15" t="s">
        <v>80</v>
      </c>
      <c r="D26" s="15"/>
      <c r="E26" s="15">
        <v>25</v>
      </c>
      <c r="F26" s="15" t="s">
        <v>13</v>
      </c>
      <c r="G26" s="34" t="b">
        <f t="shared" si="7"/>
        <v>1</v>
      </c>
      <c r="H26" s="9" t="b">
        <f t="shared" si="8"/>
        <v>0</v>
      </c>
      <c r="I26" s="53">
        <f t="shared" si="3"/>
        <v>297.85714285714283</v>
      </c>
      <c r="J26" s="53">
        <f t="shared" si="4"/>
        <v>298</v>
      </c>
      <c r="K26" s="10" t="str">
        <f t="shared" si="2"/>
        <v>Fashion</v>
      </c>
      <c r="L26" s="45">
        <f t="shared" si="5"/>
        <v>74</v>
      </c>
      <c r="M26" s="66">
        <f t="shared" si="6"/>
        <v>74</v>
      </c>
      <c r="N26" s="67" t="s">
        <v>126</v>
      </c>
      <c r="O26" s="54">
        <f>MEDIAN(L2:L32)</f>
        <v>130</v>
      </c>
    </row>
    <row r="27" spans="1:16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s="7" t="b">
        <f t="shared" si="7"/>
        <v>0</v>
      </c>
      <c r="H27" s="9" t="b">
        <f t="shared" si="8"/>
        <v>0</v>
      </c>
      <c r="I27" s="48">
        <f t="shared" si="3"/>
        <v>400</v>
      </c>
      <c r="J27" s="48">
        <f t="shared" si="4"/>
        <v>400</v>
      </c>
      <c r="K27" s="10" t="str">
        <f t="shared" si="2"/>
        <v>Kitchen</v>
      </c>
      <c r="L27" s="40">
        <f t="shared" si="5"/>
        <v>400</v>
      </c>
      <c r="M27" s="40">
        <f t="shared" si="6"/>
        <v>400</v>
      </c>
    </row>
    <row r="28" spans="1:16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s="7" t="b">
        <f t="shared" si="7"/>
        <v>0</v>
      </c>
      <c r="H28" s="9" t="b">
        <f t="shared" si="8"/>
        <v>0</v>
      </c>
      <c r="I28" s="48">
        <f t="shared" si="3"/>
        <v>60</v>
      </c>
      <c r="J28" s="48">
        <f t="shared" si="4"/>
        <v>60</v>
      </c>
      <c r="K28" s="10" t="str">
        <f t="shared" si="2"/>
        <v>Fashion</v>
      </c>
      <c r="L28" s="40">
        <f t="shared" si="5"/>
        <v>60</v>
      </c>
      <c r="M28" s="40">
        <f t="shared" si="6"/>
        <v>60</v>
      </c>
    </row>
    <row r="29" spans="1:16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s="7" t="b">
        <f t="shared" si="7"/>
        <v>0</v>
      </c>
      <c r="H29" s="9" t="b">
        <f t="shared" si="8"/>
        <v>0</v>
      </c>
      <c r="I29" s="48">
        <f t="shared" si="3"/>
        <v>40</v>
      </c>
      <c r="J29" s="48">
        <f t="shared" si="4"/>
        <v>40</v>
      </c>
      <c r="K29" s="10" t="str">
        <f t="shared" si="2"/>
        <v>Kitchen</v>
      </c>
      <c r="L29" s="40">
        <f t="shared" si="5"/>
        <v>40</v>
      </c>
      <c r="M29" s="40">
        <f t="shared" si="6"/>
        <v>40</v>
      </c>
    </row>
    <row r="30" spans="1:16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s="7" t="b">
        <f t="shared" si="7"/>
        <v>0</v>
      </c>
      <c r="H30" s="9" t="b">
        <f t="shared" si="8"/>
        <v>0</v>
      </c>
      <c r="I30" s="48">
        <f t="shared" si="3"/>
        <v>130</v>
      </c>
      <c r="J30" s="48">
        <f t="shared" si="4"/>
        <v>130</v>
      </c>
      <c r="K30" s="10" t="str">
        <f t="shared" si="2"/>
        <v>Electronics</v>
      </c>
      <c r="L30" s="40">
        <f t="shared" si="5"/>
        <v>130</v>
      </c>
      <c r="M30" s="40">
        <f t="shared" si="6"/>
        <v>130</v>
      </c>
    </row>
    <row r="31" spans="1:16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s="7" t="b">
        <f t="shared" si="7"/>
        <v>0</v>
      </c>
      <c r="H31" s="9" t="b">
        <f t="shared" si="8"/>
        <v>0</v>
      </c>
      <c r="I31" s="48">
        <f t="shared" si="3"/>
        <v>50</v>
      </c>
      <c r="J31" s="48">
        <f t="shared" si="4"/>
        <v>50</v>
      </c>
      <c r="K31" s="10" t="str">
        <f t="shared" si="2"/>
        <v>Fashion</v>
      </c>
      <c r="L31" s="40">
        <f t="shared" si="5"/>
        <v>50</v>
      </c>
      <c r="M31" s="40">
        <f t="shared" si="6"/>
        <v>50</v>
      </c>
    </row>
    <row r="32" spans="1:16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s="7" t="b">
        <f t="shared" si="7"/>
        <v>0</v>
      </c>
      <c r="H32" s="9" t="b">
        <f t="shared" si="8"/>
        <v>0</v>
      </c>
      <c r="I32" s="48">
        <f t="shared" si="3"/>
        <v>100</v>
      </c>
      <c r="J32" s="48">
        <f t="shared" si="4"/>
        <v>100</v>
      </c>
      <c r="K32" s="10" t="str">
        <f t="shared" si="2"/>
        <v>Accessories</v>
      </c>
      <c r="L32" s="40">
        <f t="shared" si="5"/>
        <v>100</v>
      </c>
      <c r="M32" s="40">
        <f t="shared" si="6"/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>
      <selection activeCell="K13" sqref="K13"/>
    </sheetView>
  </sheetViews>
  <sheetFormatPr defaultRowHeight="15"/>
  <cols>
    <col min="1" max="1" width="15.140625" customWidth="1"/>
    <col min="2" max="2" width="15.28515625" customWidth="1"/>
    <col min="3" max="3" width="13.140625" customWidth="1"/>
    <col min="4" max="4" width="10.28515625" customWidth="1"/>
    <col min="5" max="5" width="10" customWidth="1"/>
    <col min="6" max="6" width="14.28515625" customWidth="1"/>
    <col min="7" max="7" width="11.5703125" customWidth="1"/>
    <col min="11" max="11" width="8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17" t="s">
        <v>6</v>
      </c>
      <c r="B2" s="17" t="s">
        <v>42</v>
      </c>
      <c r="C2" s="17" t="s">
        <v>8</v>
      </c>
      <c r="D2" s="17">
        <v>1000</v>
      </c>
      <c r="E2" s="17">
        <v>30</v>
      </c>
      <c r="F2" s="17" t="s">
        <v>9</v>
      </c>
    </row>
    <row r="3" spans="1:1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1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11">
      <c r="A5" s="18" t="s">
        <v>18</v>
      </c>
      <c r="B5" s="18" t="s">
        <v>77</v>
      </c>
      <c r="C5" s="18" t="s">
        <v>20</v>
      </c>
      <c r="D5" s="18">
        <v>900</v>
      </c>
      <c r="E5" s="18">
        <v>25</v>
      </c>
      <c r="F5" s="18" t="s">
        <v>9</v>
      </c>
    </row>
    <row r="6" spans="1:1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1">
      <c r="A7" s="15" t="s">
        <v>24</v>
      </c>
      <c r="B7" s="15" t="s">
        <v>25</v>
      </c>
      <c r="C7" s="15" t="s">
        <v>26</v>
      </c>
      <c r="D7" s="15"/>
      <c r="E7" s="15">
        <v>45</v>
      </c>
      <c r="F7" s="15" t="s">
        <v>9</v>
      </c>
    </row>
    <row r="8" spans="1:1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1" ht="60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K10" s="12" t="s">
        <v>102</v>
      </c>
    </row>
    <row r="11" spans="1:1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1" ht="90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K13" s="11" t="s">
        <v>103</v>
      </c>
    </row>
    <row r="14" spans="1:1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1">
      <c r="A15" s="15" t="s">
        <v>47</v>
      </c>
      <c r="B15" s="15" t="s">
        <v>48</v>
      </c>
      <c r="C15" s="15" t="s">
        <v>49</v>
      </c>
      <c r="D15" s="15">
        <v>150</v>
      </c>
      <c r="E15" s="15">
        <v>15</v>
      </c>
      <c r="F15" s="15" t="s">
        <v>9</v>
      </c>
    </row>
    <row r="16" spans="1:11">
      <c r="A16" s="17" t="s">
        <v>50</v>
      </c>
      <c r="B16" s="17" t="s">
        <v>25</v>
      </c>
      <c r="C16" s="17" t="s">
        <v>52</v>
      </c>
      <c r="D16" s="24">
        <v>250</v>
      </c>
      <c r="E16" s="24">
        <v>20</v>
      </c>
      <c r="F16" s="24" t="s">
        <v>9</v>
      </c>
    </row>
    <row r="17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>
      <c r="A18" s="24" t="s">
        <v>57</v>
      </c>
      <c r="B18" s="24" t="s">
        <v>48</v>
      </c>
      <c r="C18" s="24" t="s">
        <v>58</v>
      </c>
      <c r="D18" s="24">
        <v>160</v>
      </c>
      <c r="E18" s="24">
        <v>15</v>
      </c>
      <c r="F18" s="24" t="s">
        <v>9</v>
      </c>
    </row>
    <row r="19" spans="1:6">
      <c r="A19" s="18" t="s">
        <v>59</v>
      </c>
      <c r="B19" s="18" t="s">
        <v>42</v>
      </c>
      <c r="C19" s="18" t="s">
        <v>60</v>
      </c>
      <c r="D19" s="15">
        <v>980</v>
      </c>
      <c r="E19" s="15">
        <v>10</v>
      </c>
      <c r="F19" s="15" t="s">
        <v>9</v>
      </c>
    </row>
    <row r="20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>
      <c r="A24" s="2" t="s">
        <v>73</v>
      </c>
      <c r="B24" s="13" t="s">
        <v>74</v>
      </c>
      <c r="C24" s="2" t="s">
        <v>75</v>
      </c>
      <c r="D24" s="2">
        <v>150</v>
      </c>
      <c r="E24" s="2">
        <v>30</v>
      </c>
      <c r="F24" s="2"/>
    </row>
    <row r="25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>
      <c r="A29" s="18" t="s">
        <v>50</v>
      </c>
      <c r="B29" s="18" t="s">
        <v>25</v>
      </c>
      <c r="C29" s="18" t="s">
        <v>52</v>
      </c>
      <c r="D29" s="15">
        <v>250</v>
      </c>
      <c r="E29" s="15">
        <v>20</v>
      </c>
      <c r="F29" s="15" t="s">
        <v>9</v>
      </c>
    </row>
    <row r="30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>
      <c r="A32" s="2" t="s">
        <v>89</v>
      </c>
      <c r="B32" s="13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"/>
  <sheetViews>
    <sheetView topLeftCell="E1" workbookViewId="0">
      <selection activeCell="L6" sqref="L6"/>
    </sheetView>
  </sheetViews>
  <sheetFormatPr defaultRowHeight="15"/>
  <cols>
    <col min="1" max="1" width="15" customWidth="1"/>
    <col min="2" max="2" width="15.85546875" customWidth="1"/>
    <col min="3" max="3" width="14" customWidth="1"/>
    <col min="4" max="4" width="10.140625" customWidth="1"/>
    <col min="5" max="5" width="10.42578125" customWidth="1"/>
    <col min="6" max="6" width="12.28515625" customWidth="1"/>
    <col min="12" max="12" width="11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>
      <c r="A2" s="2" t="s">
        <v>6</v>
      </c>
      <c r="B2" s="2" t="s">
        <v>42</v>
      </c>
      <c r="C2" s="2" t="s">
        <v>8</v>
      </c>
      <c r="D2" s="2">
        <v>1000</v>
      </c>
      <c r="E2" s="2">
        <v>30</v>
      </c>
      <c r="F2" s="2" t="s">
        <v>9</v>
      </c>
    </row>
    <row r="3" spans="1:1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1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12">
      <c r="A5" s="3" t="s">
        <v>18</v>
      </c>
      <c r="B5" s="3" t="s">
        <v>77</v>
      </c>
      <c r="C5" s="3" t="s">
        <v>20</v>
      </c>
      <c r="D5" s="3">
        <v>900</v>
      </c>
      <c r="E5" s="3">
        <v>25</v>
      </c>
      <c r="F5" s="3" t="s">
        <v>9</v>
      </c>
    </row>
    <row r="6" spans="1:12" ht="60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L6" s="23" t="s">
        <v>114</v>
      </c>
    </row>
    <row r="7" spans="1:12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9</v>
      </c>
    </row>
    <row r="8" spans="1:1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2">
      <c r="A12" s="16" t="s">
        <v>41</v>
      </c>
      <c r="B12" s="16" t="s">
        <v>42</v>
      </c>
      <c r="C12" s="16" t="s">
        <v>43</v>
      </c>
      <c r="D12" s="16">
        <v>950</v>
      </c>
      <c r="E12" s="16">
        <v>25</v>
      </c>
      <c r="F12" s="16" t="s">
        <v>9</v>
      </c>
    </row>
    <row r="13" spans="1:1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9</v>
      </c>
      <c r="L15" s="20"/>
    </row>
    <row r="16" spans="1:12">
      <c r="A16" s="19" t="s">
        <v>50</v>
      </c>
      <c r="B16" s="19" t="s">
        <v>25</v>
      </c>
      <c r="C16" s="19" t="s">
        <v>52</v>
      </c>
      <c r="D16" s="19">
        <v>250</v>
      </c>
      <c r="E16" s="19">
        <v>20</v>
      </c>
      <c r="F16" s="19" t="s">
        <v>9</v>
      </c>
    </row>
    <row r="17" spans="1:13">
      <c r="A17" s="15" t="s">
        <v>53</v>
      </c>
      <c r="B17" s="15" t="s">
        <v>54</v>
      </c>
      <c r="C17" s="15" t="s">
        <v>55</v>
      </c>
      <c r="D17" s="15">
        <v>50</v>
      </c>
      <c r="E17" s="15">
        <v>35</v>
      </c>
      <c r="F17" s="15" t="s">
        <v>56</v>
      </c>
    </row>
    <row r="18" spans="1:13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9</v>
      </c>
    </row>
    <row r="19" spans="1:13">
      <c r="A19" s="3" t="s">
        <v>59</v>
      </c>
      <c r="B19" s="3" t="s">
        <v>42</v>
      </c>
      <c r="C19" s="3" t="s">
        <v>60</v>
      </c>
      <c r="D19" s="3">
        <v>980</v>
      </c>
      <c r="E19" s="3">
        <v>10</v>
      </c>
      <c r="F19" s="3" t="s">
        <v>9</v>
      </c>
    </row>
    <row r="20" spans="1:13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13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13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13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13">
      <c r="A24" s="2" t="s">
        <v>73</v>
      </c>
      <c r="B24" s="13" t="s">
        <v>74</v>
      </c>
      <c r="C24" s="2" t="s">
        <v>75</v>
      </c>
      <c r="D24" s="2">
        <v>150</v>
      </c>
      <c r="E24" s="2">
        <v>30</v>
      </c>
      <c r="F24" s="2"/>
      <c r="M24" s="21"/>
    </row>
    <row r="25" spans="1:13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</row>
    <row r="26" spans="1:13">
      <c r="A26" s="3" t="s">
        <v>79</v>
      </c>
      <c r="B26" s="3" t="s">
        <v>62</v>
      </c>
      <c r="C26" s="3" t="s">
        <v>80</v>
      </c>
      <c r="D26" s="3"/>
      <c r="E26" s="3">
        <v>25</v>
      </c>
      <c r="F26" s="3" t="s">
        <v>13</v>
      </c>
    </row>
    <row r="27" spans="1:13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</row>
    <row r="28" spans="1:13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</row>
    <row r="29" spans="1:13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</row>
    <row r="30" spans="1:13">
      <c r="A30" s="2" t="s">
        <v>89</v>
      </c>
      <c r="B30" s="13" t="s">
        <v>74</v>
      </c>
      <c r="C30" s="2" t="s">
        <v>90</v>
      </c>
      <c r="D30" s="2">
        <v>130</v>
      </c>
      <c r="E30" s="2">
        <v>5</v>
      </c>
      <c r="F30" s="2" t="s">
        <v>9</v>
      </c>
    </row>
    <row r="31" spans="1:13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</row>
    <row r="32" spans="1:13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selection activeCell="J15" sqref="J15"/>
    </sheetView>
  </sheetViews>
  <sheetFormatPr defaultRowHeight="15"/>
  <cols>
    <col min="1" max="1" width="16.7109375" style="29" customWidth="1"/>
    <col min="2" max="2" width="22.28515625" style="29" customWidth="1"/>
    <col min="3" max="3" width="17.140625" style="29" customWidth="1"/>
    <col min="4" max="4" width="15.85546875" style="29" customWidth="1"/>
    <col min="5" max="5" width="13.5703125" style="29" customWidth="1"/>
    <col min="6" max="6" width="10.7109375" style="29" customWidth="1"/>
    <col min="7" max="7" width="8.5703125" style="29" bestFit="1" customWidth="1"/>
    <col min="8" max="8" width="13.7109375" style="29" hidden="1" customWidth="1"/>
    <col min="9" max="9" width="29.85546875" style="29" customWidth="1"/>
    <col min="10" max="10" width="80.28515625" customWidth="1"/>
    <col min="11" max="11" width="41.28515625" customWidth="1"/>
    <col min="12" max="12" width="33" style="29" customWidth="1"/>
    <col min="13" max="13" width="148.140625" style="29" customWidth="1"/>
    <col min="14" max="14" width="63" style="29" customWidth="1"/>
    <col min="15" max="16384" width="9.140625" style="29"/>
  </cols>
  <sheetData>
    <row r="1" spans="1:20" ht="15.75" thickBot="1">
      <c r="A1" s="51" t="s">
        <v>0</v>
      </c>
      <c r="B1" s="56" t="s">
        <v>105</v>
      </c>
      <c r="C1" s="56" t="s">
        <v>106</v>
      </c>
      <c r="D1" s="51" t="s">
        <v>1</v>
      </c>
      <c r="E1" s="51" t="s">
        <v>2</v>
      </c>
      <c r="F1" s="51" t="s">
        <v>3</v>
      </c>
      <c r="G1" s="51" t="s">
        <v>4</v>
      </c>
      <c r="H1" s="51" t="s">
        <v>5</v>
      </c>
      <c r="I1" s="57" t="s">
        <v>104</v>
      </c>
    </row>
    <row r="2" spans="1:20">
      <c r="A2" s="41" t="s">
        <v>6</v>
      </c>
      <c r="B2" s="50" t="str">
        <f>LEFT(A2,LEN(A2)-3)</f>
        <v>28-JAN</v>
      </c>
      <c r="C2" s="50" t="str">
        <f>RIGHT(A2,LEN(A2)-7)</f>
        <v>US</v>
      </c>
      <c r="D2" s="2" t="s">
        <v>7</v>
      </c>
      <c r="E2" s="2" t="s">
        <v>8</v>
      </c>
      <c r="F2" s="2">
        <v>1000</v>
      </c>
      <c r="G2" s="2">
        <v>30</v>
      </c>
      <c r="H2" s="2" t="s">
        <v>9</v>
      </c>
      <c r="I2" s="55" t="str">
        <f>CONCATENATE(D2," ",E2)</f>
        <v>laptop Dell</v>
      </c>
    </row>
    <row r="3" spans="1:20">
      <c r="A3" s="3" t="s">
        <v>10</v>
      </c>
      <c r="B3" s="40" t="str">
        <f t="shared" ref="B3:B35" si="0">LEFT(A3,LEN(A3)-3)</f>
        <v>15-FEB</v>
      </c>
      <c r="C3" s="40" t="str">
        <f t="shared" ref="C3:C35" si="1">RIGHT(A3,LEN(A3)-7)</f>
        <v>US</v>
      </c>
      <c r="D3" s="3" t="s">
        <v>11</v>
      </c>
      <c r="E3" s="3" t="s">
        <v>12</v>
      </c>
      <c r="F3" s="3">
        <v>80</v>
      </c>
      <c r="G3" s="3">
        <v>15</v>
      </c>
      <c r="H3" s="3" t="s">
        <v>13</v>
      </c>
      <c r="I3" s="30" t="str">
        <f t="shared" ref="I3:I16" si="2">CONCATENATE(D3," ",E3)</f>
        <v>Sneakers Nike</v>
      </c>
    </row>
    <row r="4" spans="1:20">
      <c r="A4" s="2" t="s">
        <v>14</v>
      </c>
      <c r="B4" s="40" t="str">
        <f t="shared" si="0"/>
        <v>03-MAR</v>
      </c>
      <c r="C4" s="40" t="str">
        <f t="shared" si="1"/>
        <v>US</v>
      </c>
      <c r="D4" s="2" t="s">
        <v>15</v>
      </c>
      <c r="E4" s="2" t="s">
        <v>16</v>
      </c>
      <c r="F4" s="2">
        <v>130</v>
      </c>
      <c r="G4" s="2">
        <v>40</v>
      </c>
      <c r="H4" s="2" t="s">
        <v>17</v>
      </c>
      <c r="I4" s="30" t="str">
        <f t="shared" si="2"/>
        <v>Coffee Maker Keurig</v>
      </c>
    </row>
    <row r="5" spans="1:20">
      <c r="A5" s="3" t="s">
        <v>18</v>
      </c>
      <c r="B5" s="40" t="str">
        <f t="shared" si="0"/>
        <v>11-APR</v>
      </c>
      <c r="C5" s="40" t="str">
        <f t="shared" si="1"/>
        <v>US</v>
      </c>
      <c r="D5" s="3" t="s">
        <v>19</v>
      </c>
      <c r="E5" s="3" t="s">
        <v>20</v>
      </c>
      <c r="F5" s="3">
        <v>900</v>
      </c>
      <c r="G5" s="3">
        <v>25</v>
      </c>
      <c r="H5" s="3" t="s">
        <v>9</v>
      </c>
      <c r="I5" s="30" t="str">
        <f t="shared" si="2"/>
        <v>smartphone Samsung</v>
      </c>
    </row>
    <row r="6" spans="1:20">
      <c r="A6" s="2" t="s">
        <v>21</v>
      </c>
      <c r="B6" s="40" t="str">
        <f t="shared" si="0"/>
        <v>22-MAY</v>
      </c>
      <c r="C6" s="40" t="str">
        <f t="shared" si="1"/>
        <v>US</v>
      </c>
      <c r="D6" s="2" t="s">
        <v>22</v>
      </c>
      <c r="E6" s="2" t="s">
        <v>23</v>
      </c>
      <c r="F6" s="2">
        <v>70</v>
      </c>
      <c r="G6" s="2">
        <v>20</v>
      </c>
      <c r="H6" s="2"/>
      <c r="I6" s="30" t="str">
        <f t="shared" si="2"/>
        <v>Backpack North Face</v>
      </c>
    </row>
    <row r="7" spans="1:20">
      <c r="A7" s="3" t="s">
        <v>24</v>
      </c>
      <c r="B7" s="40" t="str">
        <f t="shared" si="0"/>
        <v>07-JUN</v>
      </c>
      <c r="C7" s="40" t="str">
        <f t="shared" si="1"/>
        <v>UK</v>
      </c>
      <c r="D7" s="3" t="s">
        <v>25</v>
      </c>
      <c r="E7" s="3" t="s">
        <v>26</v>
      </c>
      <c r="F7" s="3"/>
      <c r="G7" s="3">
        <v>45</v>
      </c>
      <c r="H7" s="3" t="s">
        <v>27</v>
      </c>
      <c r="I7" s="30" t="str">
        <f t="shared" si="2"/>
        <v>Headphones Sony</v>
      </c>
    </row>
    <row r="8" spans="1:20">
      <c r="A8" s="2" t="s">
        <v>28</v>
      </c>
      <c r="B8" s="40" t="str">
        <f t="shared" si="0"/>
        <v>19-JUL</v>
      </c>
      <c r="C8" s="40" t="str">
        <f t="shared" si="1"/>
        <v>UK</v>
      </c>
      <c r="D8" s="2" t="s">
        <v>29</v>
      </c>
      <c r="E8" s="2" t="s">
        <v>30</v>
      </c>
      <c r="F8" s="2">
        <v>30</v>
      </c>
      <c r="G8" s="2">
        <v>5</v>
      </c>
      <c r="H8" s="2" t="s">
        <v>13</v>
      </c>
      <c r="I8" s="30" t="str">
        <f t="shared" si="2"/>
        <v>T-shirt Adidas</v>
      </c>
    </row>
    <row r="9" spans="1:20">
      <c r="A9" s="3" t="s">
        <v>31</v>
      </c>
      <c r="B9" s="40" t="str">
        <f t="shared" si="0"/>
        <v>23-AUG</v>
      </c>
      <c r="C9" s="40" t="str">
        <f t="shared" si="1"/>
        <v>UK</v>
      </c>
      <c r="D9" s="3" t="s">
        <v>32</v>
      </c>
      <c r="E9" s="3" t="s">
        <v>33</v>
      </c>
      <c r="F9" s="3">
        <v>90</v>
      </c>
      <c r="G9" s="3">
        <v>35</v>
      </c>
      <c r="H9" s="3" t="s">
        <v>17</v>
      </c>
      <c r="I9" s="30" t="str">
        <f t="shared" si="2"/>
        <v>Blender Ninja</v>
      </c>
    </row>
    <row r="10" spans="1:20">
      <c r="A10" s="2" t="s">
        <v>34</v>
      </c>
      <c r="B10" s="40" t="str">
        <f t="shared" si="0"/>
        <v>05-SEP</v>
      </c>
      <c r="C10" s="40" t="str">
        <f t="shared" si="1"/>
        <v>UK</v>
      </c>
      <c r="D10" s="2" t="s">
        <v>35</v>
      </c>
      <c r="E10" s="2" t="s">
        <v>36</v>
      </c>
      <c r="F10" s="2">
        <v>500</v>
      </c>
      <c r="G10" s="2">
        <v>50</v>
      </c>
      <c r="H10" s="2" t="s">
        <v>9</v>
      </c>
      <c r="I10" s="30" t="str">
        <f t="shared" si="2"/>
        <v>Tablet Apple</v>
      </c>
    </row>
    <row r="11" spans="1:20" ht="60">
      <c r="A11" s="3" t="s">
        <v>37</v>
      </c>
      <c r="B11" s="40" t="str">
        <f t="shared" si="0"/>
        <v>14-OCT</v>
      </c>
      <c r="C11" s="40" t="str">
        <f t="shared" si="1"/>
        <v>UK</v>
      </c>
      <c r="D11" s="3" t="s">
        <v>38</v>
      </c>
      <c r="E11" s="3" t="s">
        <v>39</v>
      </c>
      <c r="F11" s="3">
        <v>130</v>
      </c>
      <c r="G11" s="3">
        <v>10</v>
      </c>
      <c r="H11" s="3" t="s">
        <v>40</v>
      </c>
      <c r="I11" s="30" t="str">
        <f t="shared" si="2"/>
        <v>Hiking Boots Timberland</v>
      </c>
      <c r="J11" s="25" t="s">
        <v>123</v>
      </c>
      <c r="K11" s="59"/>
      <c r="N11" s="58"/>
    </row>
    <row r="12" spans="1:20">
      <c r="A12" s="2" t="s">
        <v>41</v>
      </c>
      <c r="B12" s="40" t="str">
        <f t="shared" si="0"/>
        <v>17-JUN</v>
      </c>
      <c r="C12" s="40" t="str">
        <f t="shared" si="1"/>
        <v>IN</v>
      </c>
      <c r="D12" s="2" t="s">
        <v>42</v>
      </c>
      <c r="E12" s="2" t="s">
        <v>43</v>
      </c>
      <c r="F12" s="2">
        <v>950</v>
      </c>
      <c r="G12" s="2">
        <v>25</v>
      </c>
      <c r="H12" s="2" t="s">
        <v>9</v>
      </c>
      <c r="I12" s="30" t="str">
        <f t="shared" si="2"/>
        <v>Laptop HP</v>
      </c>
      <c r="T12" s="60"/>
    </row>
    <row r="13" spans="1:20">
      <c r="A13" s="3" t="s">
        <v>44</v>
      </c>
      <c r="B13" s="40" t="str">
        <f t="shared" si="0"/>
        <v>25-NOV</v>
      </c>
      <c r="C13" s="40" t="str">
        <f t="shared" si="1"/>
        <v>AU</v>
      </c>
      <c r="D13" s="3" t="s">
        <v>11</v>
      </c>
      <c r="E13" s="3" t="s">
        <v>30</v>
      </c>
      <c r="F13" s="3">
        <v>90</v>
      </c>
      <c r="G13" s="3">
        <v>40</v>
      </c>
      <c r="H13" s="3"/>
      <c r="I13" s="30" t="str">
        <f t="shared" si="2"/>
        <v>Sneakers Adidas</v>
      </c>
    </row>
    <row r="14" spans="1:20">
      <c r="A14" s="2" t="s">
        <v>45</v>
      </c>
      <c r="B14" s="40" t="str">
        <f t="shared" si="0"/>
        <v>08-DEC</v>
      </c>
      <c r="C14" s="40" t="str">
        <f t="shared" si="1"/>
        <v>DE</v>
      </c>
      <c r="D14" s="2" t="s">
        <v>15</v>
      </c>
      <c r="E14" s="2" t="s">
        <v>46</v>
      </c>
      <c r="F14" s="2">
        <v>120</v>
      </c>
      <c r="G14" s="2">
        <v>35</v>
      </c>
      <c r="H14" s="2"/>
      <c r="I14" s="30" t="str">
        <f t="shared" si="2"/>
        <v>Coffee Maker Nespresso</v>
      </c>
    </row>
    <row r="15" spans="1:20" ht="45">
      <c r="A15" s="3" t="s">
        <v>47</v>
      </c>
      <c r="B15" s="40" t="str">
        <f t="shared" si="0"/>
        <v>18-FEB</v>
      </c>
      <c r="C15" s="40" t="str">
        <f t="shared" si="1"/>
        <v>CA</v>
      </c>
      <c r="D15" s="3" t="s">
        <v>48</v>
      </c>
      <c r="E15" s="3" t="s">
        <v>49</v>
      </c>
      <c r="F15" s="3">
        <v>150</v>
      </c>
      <c r="G15" s="3">
        <v>15</v>
      </c>
      <c r="H15" s="3" t="s">
        <v>27</v>
      </c>
      <c r="I15" s="30" t="str">
        <f t="shared" si="2"/>
        <v>Smartwatch Fitbit</v>
      </c>
      <c r="J15" s="61" t="s">
        <v>124</v>
      </c>
    </row>
    <row r="16" spans="1:20">
      <c r="A16" s="2" t="s">
        <v>50</v>
      </c>
      <c r="B16" s="40" t="str">
        <f t="shared" si="0"/>
        <v>16-APR</v>
      </c>
      <c r="C16" s="40" t="str">
        <f t="shared" si="1"/>
        <v>ES</v>
      </c>
      <c r="D16" s="2" t="s">
        <v>51</v>
      </c>
      <c r="E16" s="2" t="s">
        <v>52</v>
      </c>
      <c r="F16" s="2">
        <v>250</v>
      </c>
      <c r="G16" s="2">
        <v>20</v>
      </c>
      <c r="H16" s="2" t="s">
        <v>27</v>
      </c>
      <c r="I16" s="30" t="str">
        <f t="shared" si="2"/>
        <v>headphones Bose</v>
      </c>
    </row>
    <row r="17" spans="1:9">
      <c r="A17" s="3" t="s">
        <v>53</v>
      </c>
      <c r="B17" s="40" t="str">
        <f t="shared" si="0"/>
        <v>21-AUG</v>
      </c>
      <c r="C17" s="40" t="str">
        <f t="shared" si="1"/>
        <v>CA</v>
      </c>
      <c r="D17" s="3" t="s">
        <v>54</v>
      </c>
      <c r="E17" s="3" t="s">
        <v>55</v>
      </c>
      <c r="F17" s="3">
        <v>50</v>
      </c>
      <c r="G17" s="3">
        <v>35</v>
      </c>
      <c r="H17" s="3" t="s">
        <v>56</v>
      </c>
      <c r="I17" s="30" t="str">
        <f>D17 &amp; " " &amp; E17</f>
        <v>Laptop Bag Samsonite</v>
      </c>
    </row>
    <row r="18" spans="1:9">
      <c r="A18" s="2" t="s">
        <v>57</v>
      </c>
      <c r="B18" s="40" t="str">
        <f t="shared" si="0"/>
        <v>20-AUG</v>
      </c>
      <c r="C18" s="40" t="str">
        <f t="shared" si="1"/>
        <v>CN</v>
      </c>
      <c r="D18" s="2" t="s">
        <v>48</v>
      </c>
      <c r="E18" s="2" t="s">
        <v>58</v>
      </c>
      <c r="F18" s="2">
        <v>160</v>
      </c>
      <c r="G18" s="2">
        <v>15</v>
      </c>
      <c r="H18" s="2" t="s">
        <v>27</v>
      </c>
      <c r="I18" s="30" t="str">
        <f t="shared" ref="I18:I35" si="3">D18 &amp; " " &amp; E18</f>
        <v>Smartwatch Huawei</v>
      </c>
    </row>
    <row r="19" spans="1:9">
      <c r="A19" s="3" t="s">
        <v>59</v>
      </c>
      <c r="B19" s="40" t="str">
        <f t="shared" si="0"/>
        <v>27-JAN</v>
      </c>
      <c r="C19" s="40" t="str">
        <f t="shared" si="1"/>
        <v>IT</v>
      </c>
      <c r="D19" s="3" t="s">
        <v>7</v>
      </c>
      <c r="E19" s="3" t="s">
        <v>60</v>
      </c>
      <c r="F19" s="3">
        <v>980</v>
      </c>
      <c r="G19" s="3">
        <v>10</v>
      </c>
      <c r="H19" s="3" t="s">
        <v>9</v>
      </c>
      <c r="I19" s="30" t="str">
        <f t="shared" si="3"/>
        <v>laptop Asus</v>
      </c>
    </row>
    <row r="20" spans="1:9">
      <c r="A20" s="2" t="s">
        <v>61</v>
      </c>
      <c r="B20" s="40" t="str">
        <f t="shared" si="0"/>
        <v>01-MAR</v>
      </c>
      <c r="C20" s="40" t="str">
        <f t="shared" si="1"/>
        <v>UK</v>
      </c>
      <c r="D20" s="2" t="s">
        <v>62</v>
      </c>
      <c r="E20" s="2" t="s">
        <v>63</v>
      </c>
      <c r="F20" s="2">
        <v>150</v>
      </c>
      <c r="G20" s="2">
        <v>15</v>
      </c>
      <c r="H20" s="2" t="s">
        <v>13</v>
      </c>
      <c r="I20" s="30" t="str">
        <f t="shared" si="3"/>
        <v>Sunglasses Oakley</v>
      </c>
    </row>
    <row r="21" spans="1:9">
      <c r="A21" s="3" t="s">
        <v>64</v>
      </c>
      <c r="B21" s="40" t="str">
        <f t="shared" si="0"/>
        <v>14-AUG</v>
      </c>
      <c r="C21" s="40" t="str">
        <f t="shared" si="1"/>
        <v>US</v>
      </c>
      <c r="D21" s="3" t="s">
        <v>65</v>
      </c>
      <c r="E21" s="3" t="s">
        <v>66</v>
      </c>
      <c r="F21" s="3"/>
      <c r="G21" s="3">
        <v>10</v>
      </c>
      <c r="H21" s="3" t="s">
        <v>40</v>
      </c>
      <c r="I21" s="30" t="str">
        <f t="shared" si="3"/>
        <v>Camping Tent Coleman</v>
      </c>
    </row>
    <row r="22" spans="1:9">
      <c r="A22" s="2" t="s">
        <v>67</v>
      </c>
      <c r="B22" s="40" t="str">
        <f t="shared" si="0"/>
        <v>14-MAY</v>
      </c>
      <c r="C22" s="40" t="str">
        <f t="shared" si="1"/>
        <v>RU</v>
      </c>
      <c r="D22" s="2" t="s">
        <v>68</v>
      </c>
      <c r="E22" s="2" t="s">
        <v>69</v>
      </c>
      <c r="F22" s="2">
        <v>700</v>
      </c>
      <c r="G22" s="2">
        <v>50</v>
      </c>
      <c r="H22" s="2" t="s">
        <v>9</v>
      </c>
      <c r="I22" s="30" t="str">
        <f t="shared" si="3"/>
        <v>Camera Nikon</v>
      </c>
    </row>
    <row r="23" spans="1:9">
      <c r="A23" s="3" t="s">
        <v>70</v>
      </c>
      <c r="B23" s="40" t="str">
        <f t="shared" si="0"/>
        <v>09-JAN</v>
      </c>
      <c r="C23" s="40" t="str">
        <f t="shared" si="1"/>
        <v>CA</v>
      </c>
      <c r="D23" s="3" t="s">
        <v>71</v>
      </c>
      <c r="E23" s="3" t="s">
        <v>72</v>
      </c>
      <c r="F23" s="3">
        <v>80</v>
      </c>
      <c r="G23" s="3">
        <v>20</v>
      </c>
      <c r="H23" s="3" t="s">
        <v>17</v>
      </c>
      <c r="I23" s="30" t="str">
        <f t="shared" si="3"/>
        <v>Microwave Panasonic</v>
      </c>
    </row>
    <row r="24" spans="1:9">
      <c r="A24" s="2" t="s">
        <v>73</v>
      </c>
      <c r="B24" s="40" t="str">
        <f t="shared" si="0"/>
        <v>19-JUL</v>
      </c>
      <c r="C24" s="40" t="str">
        <f t="shared" si="1"/>
        <v>BR</v>
      </c>
      <c r="D24" s="2" t="s">
        <v>74</v>
      </c>
      <c r="E24" s="2" t="s">
        <v>75</v>
      </c>
      <c r="F24" s="2">
        <v>150</v>
      </c>
      <c r="G24" s="2">
        <v>30</v>
      </c>
      <c r="H24" s="2"/>
      <c r="I24" s="30" t="str">
        <f t="shared" si="3"/>
        <v>Fitness Tracker Xiaomi</v>
      </c>
    </row>
    <row r="25" spans="1:9">
      <c r="A25" s="3" t="s">
        <v>53</v>
      </c>
      <c r="B25" s="40" t="str">
        <f t="shared" si="0"/>
        <v>21-AUG</v>
      </c>
      <c r="C25" s="40" t="str">
        <f t="shared" si="1"/>
        <v>CA</v>
      </c>
      <c r="D25" s="3" t="s">
        <v>54</v>
      </c>
      <c r="E25" s="3" t="s">
        <v>55</v>
      </c>
      <c r="F25" s="3">
        <v>50</v>
      </c>
      <c r="G25" s="3">
        <v>35</v>
      </c>
      <c r="H25" s="3" t="s">
        <v>56</v>
      </c>
      <c r="I25" s="30" t="str">
        <f t="shared" si="3"/>
        <v>Laptop Bag Samsonite</v>
      </c>
    </row>
    <row r="26" spans="1:9">
      <c r="A26" s="2" t="s">
        <v>76</v>
      </c>
      <c r="B26" s="40" t="str">
        <f t="shared" si="0"/>
        <v>29-SEP</v>
      </c>
      <c r="C26" s="40" t="str">
        <f t="shared" si="1"/>
        <v>CA</v>
      </c>
      <c r="D26" s="2" t="s">
        <v>77</v>
      </c>
      <c r="E26" s="2" t="s">
        <v>78</v>
      </c>
      <c r="F26" s="2">
        <v>800</v>
      </c>
      <c r="G26" s="2">
        <v>45</v>
      </c>
      <c r="H26" s="2" t="s">
        <v>9</v>
      </c>
      <c r="I26" s="30" t="str">
        <f t="shared" si="3"/>
        <v>Smartphone Google</v>
      </c>
    </row>
    <row r="27" spans="1:9">
      <c r="A27" s="3" t="s">
        <v>79</v>
      </c>
      <c r="B27" s="40" t="str">
        <f t="shared" si="0"/>
        <v>03-JUN</v>
      </c>
      <c r="C27" s="40" t="str">
        <f t="shared" si="1"/>
        <v>CA</v>
      </c>
      <c r="D27" s="3" t="s">
        <v>62</v>
      </c>
      <c r="E27" s="3" t="s">
        <v>80</v>
      </c>
      <c r="F27" s="3"/>
      <c r="G27" s="3">
        <v>25</v>
      </c>
      <c r="H27" s="3" t="s">
        <v>13</v>
      </c>
      <c r="I27" s="30" t="str">
        <f t="shared" si="3"/>
        <v>Sunglasses Ray-Ban</v>
      </c>
    </row>
    <row r="28" spans="1:9">
      <c r="A28" s="2" t="s">
        <v>81</v>
      </c>
      <c r="B28" s="40" t="str">
        <f t="shared" si="0"/>
        <v>11-JUL</v>
      </c>
      <c r="C28" s="40" t="str">
        <f t="shared" si="1"/>
        <v>CA</v>
      </c>
      <c r="D28" s="2" t="s">
        <v>32</v>
      </c>
      <c r="E28" s="2" t="s">
        <v>82</v>
      </c>
      <c r="F28" s="2">
        <v>400</v>
      </c>
      <c r="G28" s="2">
        <v>40</v>
      </c>
      <c r="H28" s="2" t="s">
        <v>17</v>
      </c>
      <c r="I28" s="30" t="str">
        <f t="shared" si="3"/>
        <v>Blender Vitamix</v>
      </c>
    </row>
    <row r="29" spans="1:9">
      <c r="A29" s="3" t="s">
        <v>50</v>
      </c>
      <c r="B29" s="40" t="str">
        <f t="shared" si="0"/>
        <v>16-APR</v>
      </c>
      <c r="C29" s="40" t="str">
        <f t="shared" si="1"/>
        <v>ES</v>
      </c>
      <c r="D29" s="3" t="s">
        <v>51</v>
      </c>
      <c r="E29" s="3" t="s">
        <v>52</v>
      </c>
      <c r="F29" s="3">
        <v>250</v>
      </c>
      <c r="G29" s="3">
        <v>20</v>
      </c>
      <c r="H29" s="3" t="s">
        <v>27</v>
      </c>
      <c r="I29" s="30" t="str">
        <f t="shared" si="3"/>
        <v>headphones Bose</v>
      </c>
    </row>
    <row r="30" spans="1:9">
      <c r="A30" s="2" t="s">
        <v>83</v>
      </c>
      <c r="B30" s="40" t="str">
        <f t="shared" si="0"/>
        <v>07-MAR</v>
      </c>
      <c r="C30" s="40" t="str">
        <f t="shared" si="1"/>
        <v>CA</v>
      </c>
      <c r="D30" s="2" t="s">
        <v>84</v>
      </c>
      <c r="E30" s="2" t="s">
        <v>85</v>
      </c>
      <c r="F30" s="2">
        <v>60</v>
      </c>
      <c r="G30" s="2">
        <v>30</v>
      </c>
      <c r="H30" s="2" t="s">
        <v>13</v>
      </c>
      <c r="I30" s="30" t="str">
        <f t="shared" si="3"/>
        <v>Dress Zara</v>
      </c>
    </row>
    <row r="31" spans="1:9">
      <c r="A31" s="3" t="s">
        <v>86</v>
      </c>
      <c r="B31" s="40" t="str">
        <f t="shared" si="0"/>
        <v>13-APR</v>
      </c>
      <c r="C31" s="40" t="str">
        <f t="shared" si="1"/>
        <v>CA</v>
      </c>
      <c r="D31" s="3" t="s">
        <v>87</v>
      </c>
      <c r="E31" s="3" t="s">
        <v>88</v>
      </c>
      <c r="F31" s="3">
        <v>40</v>
      </c>
      <c r="G31" s="3">
        <v>10</v>
      </c>
      <c r="H31" s="3" t="s">
        <v>17</v>
      </c>
      <c r="I31" s="30" t="str">
        <f t="shared" si="3"/>
        <v>Toaster Hamilton</v>
      </c>
    </row>
    <row r="32" spans="1:9">
      <c r="A32" s="2" t="s">
        <v>89</v>
      </c>
      <c r="B32" s="40" t="str">
        <f t="shared" si="0"/>
        <v>24-MAY</v>
      </c>
      <c r="C32" s="40" t="str">
        <f t="shared" si="1"/>
        <v>CA</v>
      </c>
      <c r="D32" s="2" t="s">
        <v>74</v>
      </c>
      <c r="E32" s="2" t="s">
        <v>90</v>
      </c>
      <c r="F32" s="2">
        <v>130</v>
      </c>
      <c r="G32" s="2">
        <v>5</v>
      </c>
      <c r="H32" s="2" t="s">
        <v>9</v>
      </c>
      <c r="I32" s="30" t="str">
        <f t="shared" si="3"/>
        <v>Fitness Tracker Garmin</v>
      </c>
    </row>
    <row r="33" spans="1:9">
      <c r="A33" s="3" t="s">
        <v>91</v>
      </c>
      <c r="B33" s="40" t="str">
        <f t="shared" si="0"/>
        <v>02-DEC</v>
      </c>
      <c r="C33" s="40" t="str">
        <f t="shared" si="1"/>
        <v>CA</v>
      </c>
      <c r="D33" s="3" t="s">
        <v>92</v>
      </c>
      <c r="E33" s="3" t="s">
        <v>93</v>
      </c>
      <c r="F33" s="3">
        <v>50</v>
      </c>
      <c r="G33" s="3">
        <v>50</v>
      </c>
      <c r="H33" s="3" t="s">
        <v>13</v>
      </c>
      <c r="I33" s="30" t="str">
        <f t="shared" si="3"/>
        <v>Jeans Levi's</v>
      </c>
    </row>
    <row r="34" spans="1:9">
      <c r="A34" s="2" t="s">
        <v>41</v>
      </c>
      <c r="B34" s="40" t="str">
        <f t="shared" si="0"/>
        <v>17-JUN</v>
      </c>
      <c r="C34" s="40" t="str">
        <f t="shared" si="1"/>
        <v>IN</v>
      </c>
      <c r="D34" s="2" t="s">
        <v>42</v>
      </c>
      <c r="E34" s="2" t="s">
        <v>43</v>
      </c>
      <c r="F34" s="2">
        <v>950</v>
      </c>
      <c r="G34" s="2">
        <v>25</v>
      </c>
      <c r="H34" s="2" t="s">
        <v>9</v>
      </c>
      <c r="I34" s="30" t="str">
        <f t="shared" si="3"/>
        <v>Laptop HP</v>
      </c>
    </row>
    <row r="35" spans="1:9">
      <c r="A35" s="3" t="s">
        <v>94</v>
      </c>
      <c r="B35" s="40" t="str">
        <f t="shared" si="0"/>
        <v>09-JUL</v>
      </c>
      <c r="C35" s="40" t="str">
        <f t="shared" si="1"/>
        <v>FR</v>
      </c>
      <c r="D35" s="3" t="s">
        <v>95</v>
      </c>
      <c r="E35" s="3" t="s">
        <v>96</v>
      </c>
      <c r="F35" s="3">
        <v>100</v>
      </c>
      <c r="G35" s="3">
        <v>20</v>
      </c>
      <c r="H35" s="3" t="s">
        <v>56</v>
      </c>
      <c r="I35" s="30" t="str">
        <f t="shared" si="3"/>
        <v>Watch Casio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5"/>
  <sheetViews>
    <sheetView topLeftCell="L3" zoomScale="93" zoomScaleNormal="93" workbookViewId="0">
      <selection activeCell="R11" sqref="R11"/>
    </sheetView>
  </sheetViews>
  <sheetFormatPr defaultRowHeight="15"/>
  <cols>
    <col min="1" max="1" width="17.28515625" customWidth="1"/>
    <col min="2" max="2" width="21" customWidth="1"/>
    <col min="3" max="3" width="14.5703125" customWidth="1"/>
    <col min="4" max="4" width="20" customWidth="1"/>
    <col min="5" max="5" width="15.7109375" customWidth="1"/>
    <col min="6" max="6" width="16.7109375" customWidth="1"/>
    <col min="7" max="7" width="10" customWidth="1"/>
    <col min="8" max="8" width="13" customWidth="1"/>
    <col min="9" max="9" width="27" customWidth="1"/>
    <col min="10" max="10" width="49" customWidth="1"/>
    <col min="11" max="11" width="75.7109375" customWidth="1"/>
    <col min="12" max="12" width="69" customWidth="1"/>
    <col min="18" max="18" width="60.28515625" customWidth="1"/>
  </cols>
  <sheetData>
    <row r="1" spans="1:18" ht="15.75" thickBot="1">
      <c r="A1" s="51" t="s">
        <v>0</v>
      </c>
      <c r="B1" s="56" t="s">
        <v>105</v>
      </c>
      <c r="C1" s="56" t="s">
        <v>106</v>
      </c>
      <c r="D1" s="51" t="s">
        <v>1</v>
      </c>
      <c r="E1" s="51" t="s">
        <v>2</v>
      </c>
      <c r="F1" s="51" t="s">
        <v>3</v>
      </c>
      <c r="G1" s="51" t="s">
        <v>4</v>
      </c>
      <c r="H1" s="51" t="s">
        <v>5</v>
      </c>
      <c r="I1" s="57" t="s">
        <v>104</v>
      </c>
      <c r="J1" s="52" t="s">
        <v>116</v>
      </c>
      <c r="K1" s="52" t="s">
        <v>117</v>
      </c>
      <c r="L1" s="52" t="s">
        <v>118</v>
      </c>
    </row>
    <row r="2" spans="1:18">
      <c r="A2" s="41" t="s">
        <v>6</v>
      </c>
      <c r="B2" s="68" t="str">
        <f t="shared" ref="B2:B35" si="0">LEFT(A2,LEN(A2)-3)</f>
        <v>28-JAN</v>
      </c>
      <c r="C2" s="50" t="str">
        <f>RIGHT(A2,LEN(A2)-7)</f>
        <v>US</v>
      </c>
      <c r="D2" s="2" t="s">
        <v>7</v>
      </c>
      <c r="E2" s="2" t="s">
        <v>8</v>
      </c>
      <c r="F2" s="2">
        <v>1000</v>
      </c>
      <c r="G2" s="2">
        <v>30</v>
      </c>
      <c r="H2" s="2" t="s">
        <v>9</v>
      </c>
      <c r="I2" s="76" t="str">
        <f>CONCATENATE(D2," ",E2)</f>
        <v>laptop Dell</v>
      </c>
      <c r="J2" s="73">
        <v>1000</v>
      </c>
      <c r="K2" s="78" t="str">
        <f>TEXT(B2, "DD-MM-YYYY")</f>
        <v>28-01-2026</v>
      </c>
      <c r="L2" s="70">
        <f>DATEVALUE(B2 &amp; "-2025")</f>
        <v>45685</v>
      </c>
    </row>
    <row r="3" spans="1:18">
      <c r="A3" s="3" t="s">
        <v>10</v>
      </c>
      <c r="B3" s="43" t="str">
        <f t="shared" si="0"/>
        <v>15-FEB</v>
      </c>
      <c r="C3" s="40" t="str">
        <f t="shared" ref="C3:C35" si="1">RIGHT(A3,LEN(A3)-7)</f>
        <v>US</v>
      </c>
      <c r="D3" s="3" t="s">
        <v>11</v>
      </c>
      <c r="E3" s="3" t="s">
        <v>12</v>
      </c>
      <c r="F3" s="3">
        <v>80</v>
      </c>
      <c r="G3" s="3">
        <v>15</v>
      </c>
      <c r="H3" s="3" t="s">
        <v>13</v>
      </c>
      <c r="I3" s="77" t="str">
        <f t="shared" ref="I3:I16" si="2">CONCATENATE(D3," ",E3)</f>
        <v>Sneakers Nike</v>
      </c>
      <c r="J3" s="74">
        <v>80</v>
      </c>
      <c r="K3" s="72" t="str">
        <f t="shared" ref="K3:K35" si="3">TEXT(B3, "DD-MM-YYYY")</f>
        <v>15-02-2026</v>
      </c>
      <c r="L3" s="71">
        <f t="shared" ref="L3:L35" si="4">DATEVALUE(B3 &amp; "-2025")</f>
        <v>45703</v>
      </c>
    </row>
    <row r="4" spans="1:18">
      <c r="A4" s="2" t="s">
        <v>14</v>
      </c>
      <c r="B4" s="43" t="str">
        <f t="shared" si="0"/>
        <v>03-MAR</v>
      </c>
      <c r="C4" s="40" t="str">
        <f t="shared" si="1"/>
        <v>US</v>
      </c>
      <c r="D4" s="2" t="s">
        <v>15</v>
      </c>
      <c r="E4" s="2" t="s">
        <v>16</v>
      </c>
      <c r="F4" s="2">
        <v>130</v>
      </c>
      <c r="G4" s="2">
        <v>40</v>
      </c>
      <c r="H4" s="2" t="s">
        <v>17</v>
      </c>
      <c r="I4" s="77" t="str">
        <f t="shared" si="2"/>
        <v>Coffee Maker Keurig</v>
      </c>
      <c r="J4" s="75">
        <v>130</v>
      </c>
      <c r="K4" s="72" t="str">
        <f t="shared" si="3"/>
        <v>03-03-2026</v>
      </c>
      <c r="L4" s="71">
        <f t="shared" si="4"/>
        <v>45719</v>
      </c>
    </row>
    <row r="5" spans="1:18">
      <c r="A5" s="3" t="s">
        <v>18</v>
      </c>
      <c r="B5" s="43" t="str">
        <f t="shared" si="0"/>
        <v>11-APR</v>
      </c>
      <c r="C5" s="40" t="str">
        <f t="shared" si="1"/>
        <v>US</v>
      </c>
      <c r="D5" s="3" t="s">
        <v>19</v>
      </c>
      <c r="E5" s="3" t="s">
        <v>20</v>
      </c>
      <c r="F5" s="3">
        <v>900</v>
      </c>
      <c r="G5" s="3">
        <v>25</v>
      </c>
      <c r="H5" s="3" t="s">
        <v>9</v>
      </c>
      <c r="I5" s="77" t="str">
        <f t="shared" si="2"/>
        <v>smartphone Samsung</v>
      </c>
      <c r="J5" s="74">
        <v>900</v>
      </c>
      <c r="K5" s="72" t="str">
        <f t="shared" si="3"/>
        <v>11-04-2026</v>
      </c>
      <c r="L5" s="71">
        <f t="shared" si="4"/>
        <v>45758</v>
      </c>
    </row>
    <row r="6" spans="1:18">
      <c r="A6" s="2" t="s">
        <v>21</v>
      </c>
      <c r="B6" s="43" t="str">
        <f t="shared" si="0"/>
        <v>22-MAY</v>
      </c>
      <c r="C6" s="40" t="str">
        <f t="shared" si="1"/>
        <v>US</v>
      </c>
      <c r="D6" s="2" t="s">
        <v>22</v>
      </c>
      <c r="E6" s="2" t="s">
        <v>23</v>
      </c>
      <c r="F6" s="2">
        <v>70</v>
      </c>
      <c r="G6" s="2">
        <v>20</v>
      </c>
      <c r="H6" s="2"/>
      <c r="I6" s="77" t="str">
        <f t="shared" si="2"/>
        <v>Backpack North Face</v>
      </c>
      <c r="J6" s="75">
        <v>70</v>
      </c>
      <c r="K6" s="72" t="str">
        <f t="shared" si="3"/>
        <v>22-05-2026</v>
      </c>
      <c r="L6" s="71">
        <f t="shared" si="4"/>
        <v>45799</v>
      </c>
    </row>
    <row r="7" spans="1:18">
      <c r="A7" s="3" t="s">
        <v>24</v>
      </c>
      <c r="B7" s="43" t="str">
        <f t="shared" si="0"/>
        <v>07-JUN</v>
      </c>
      <c r="C7" s="40" t="str">
        <f t="shared" si="1"/>
        <v>UK</v>
      </c>
      <c r="D7" s="3" t="s">
        <v>25</v>
      </c>
      <c r="E7" s="3" t="s">
        <v>26</v>
      </c>
      <c r="F7" s="3"/>
      <c r="G7" s="3">
        <v>45</v>
      </c>
      <c r="H7" s="3" t="s">
        <v>27</v>
      </c>
      <c r="I7" s="77" t="str">
        <f t="shared" si="2"/>
        <v>Headphones Sony</v>
      </c>
      <c r="J7" s="74"/>
      <c r="K7" s="72" t="str">
        <f t="shared" si="3"/>
        <v>07-06-2026</v>
      </c>
      <c r="L7" s="71">
        <f t="shared" si="4"/>
        <v>45815</v>
      </c>
    </row>
    <row r="8" spans="1:18">
      <c r="A8" s="2" t="s">
        <v>28</v>
      </c>
      <c r="B8" s="43" t="str">
        <f t="shared" si="0"/>
        <v>19-JUL</v>
      </c>
      <c r="C8" s="40" t="str">
        <f t="shared" si="1"/>
        <v>UK</v>
      </c>
      <c r="D8" s="2" t="s">
        <v>29</v>
      </c>
      <c r="E8" s="2" t="s">
        <v>30</v>
      </c>
      <c r="F8" s="2">
        <v>30</v>
      </c>
      <c r="G8" s="2">
        <v>5</v>
      </c>
      <c r="H8" s="2" t="s">
        <v>13</v>
      </c>
      <c r="I8" s="77" t="str">
        <f t="shared" si="2"/>
        <v>T-shirt Adidas</v>
      </c>
      <c r="J8" s="75">
        <v>30</v>
      </c>
      <c r="K8" s="72" t="str">
        <f t="shared" si="3"/>
        <v>19-07-2026</v>
      </c>
      <c r="L8" s="71">
        <f t="shared" si="4"/>
        <v>45857</v>
      </c>
    </row>
    <row r="9" spans="1:18">
      <c r="A9" s="3" t="s">
        <v>31</v>
      </c>
      <c r="B9" s="43" t="str">
        <f t="shared" si="0"/>
        <v>23-AUG</v>
      </c>
      <c r="C9" s="40" t="str">
        <f t="shared" si="1"/>
        <v>UK</v>
      </c>
      <c r="D9" s="3" t="s">
        <v>32</v>
      </c>
      <c r="E9" s="3" t="s">
        <v>33</v>
      </c>
      <c r="F9" s="3">
        <v>90</v>
      </c>
      <c r="G9" s="3">
        <v>35</v>
      </c>
      <c r="H9" s="3" t="s">
        <v>17</v>
      </c>
      <c r="I9" s="77" t="str">
        <f t="shared" si="2"/>
        <v>Blender Ninja</v>
      </c>
      <c r="J9" s="74">
        <v>90</v>
      </c>
      <c r="K9" s="72" t="str">
        <f t="shared" si="3"/>
        <v>23-08-2026</v>
      </c>
      <c r="L9" s="71">
        <f t="shared" si="4"/>
        <v>45892</v>
      </c>
    </row>
    <row r="10" spans="1:18">
      <c r="A10" s="2" t="s">
        <v>34</v>
      </c>
      <c r="B10" s="43" t="str">
        <f t="shared" si="0"/>
        <v>05-SEP</v>
      </c>
      <c r="C10" s="40" t="str">
        <f t="shared" si="1"/>
        <v>UK</v>
      </c>
      <c r="D10" s="2" t="s">
        <v>35</v>
      </c>
      <c r="E10" s="2" t="s">
        <v>36</v>
      </c>
      <c r="F10" s="2">
        <v>500</v>
      </c>
      <c r="G10" s="2">
        <v>50</v>
      </c>
      <c r="H10" s="2" t="s">
        <v>9</v>
      </c>
      <c r="I10" s="77" t="str">
        <f t="shared" si="2"/>
        <v>Tablet Apple</v>
      </c>
      <c r="J10" s="75">
        <v>500</v>
      </c>
      <c r="K10" s="72" t="str">
        <f t="shared" si="3"/>
        <v>05-09-2026</v>
      </c>
      <c r="L10" s="71">
        <f t="shared" si="4"/>
        <v>45905</v>
      </c>
    </row>
    <row r="11" spans="1:18" ht="135">
      <c r="A11" s="3" t="s">
        <v>37</v>
      </c>
      <c r="B11" s="43" t="str">
        <f t="shared" si="0"/>
        <v>14-OCT</v>
      </c>
      <c r="C11" s="40" t="str">
        <f t="shared" si="1"/>
        <v>UK</v>
      </c>
      <c r="D11" s="3" t="s">
        <v>38</v>
      </c>
      <c r="E11" s="3" t="s">
        <v>39</v>
      </c>
      <c r="F11" s="3">
        <v>130</v>
      </c>
      <c r="G11" s="3">
        <v>10</v>
      </c>
      <c r="H11" s="3" t="s">
        <v>40</v>
      </c>
      <c r="I11" s="77" t="str">
        <f t="shared" si="2"/>
        <v>Hiking Boots Timberland</v>
      </c>
      <c r="J11" s="74">
        <v>130</v>
      </c>
      <c r="K11" s="72" t="str">
        <f t="shared" si="3"/>
        <v>14-10-2026</v>
      </c>
      <c r="L11" s="71">
        <f t="shared" si="4"/>
        <v>45944</v>
      </c>
      <c r="R11" s="25" t="s">
        <v>129</v>
      </c>
    </row>
    <row r="12" spans="1:18">
      <c r="A12" s="2" t="s">
        <v>41</v>
      </c>
      <c r="B12" s="43" t="str">
        <f t="shared" si="0"/>
        <v>17-JUN</v>
      </c>
      <c r="C12" s="40" t="str">
        <f t="shared" si="1"/>
        <v>IN</v>
      </c>
      <c r="D12" s="2" t="s">
        <v>42</v>
      </c>
      <c r="E12" s="2" t="s">
        <v>43</v>
      </c>
      <c r="F12" s="2">
        <v>950</v>
      </c>
      <c r="G12" s="2">
        <v>25</v>
      </c>
      <c r="H12" s="2" t="s">
        <v>9</v>
      </c>
      <c r="I12" s="77" t="str">
        <f t="shared" si="2"/>
        <v>Laptop HP</v>
      </c>
      <c r="J12" s="75">
        <v>950</v>
      </c>
      <c r="K12" s="72" t="str">
        <f t="shared" si="3"/>
        <v>17-06-2026</v>
      </c>
      <c r="L12" s="71">
        <f t="shared" si="4"/>
        <v>45825</v>
      </c>
    </row>
    <row r="13" spans="1:18">
      <c r="A13" s="3" t="s">
        <v>44</v>
      </c>
      <c r="B13" s="43" t="str">
        <f t="shared" si="0"/>
        <v>25-NOV</v>
      </c>
      <c r="C13" s="40" t="str">
        <f t="shared" si="1"/>
        <v>AU</v>
      </c>
      <c r="D13" s="3" t="s">
        <v>11</v>
      </c>
      <c r="E13" s="3" t="s">
        <v>30</v>
      </c>
      <c r="F13" s="3">
        <v>90</v>
      </c>
      <c r="G13" s="3">
        <v>40</v>
      </c>
      <c r="H13" s="3"/>
      <c r="I13" s="77" t="str">
        <f t="shared" si="2"/>
        <v>Sneakers Adidas</v>
      </c>
      <c r="J13" s="74">
        <v>90</v>
      </c>
      <c r="K13" s="72" t="str">
        <f t="shared" si="3"/>
        <v>25-11-2026</v>
      </c>
      <c r="L13" s="71">
        <f t="shared" si="4"/>
        <v>45986</v>
      </c>
    </row>
    <row r="14" spans="1:18" ht="75">
      <c r="A14" s="2" t="s">
        <v>45</v>
      </c>
      <c r="B14" s="43" t="str">
        <f t="shared" si="0"/>
        <v>08-DEC</v>
      </c>
      <c r="C14" s="40" t="str">
        <f t="shared" si="1"/>
        <v>DE</v>
      </c>
      <c r="D14" s="2" t="s">
        <v>15</v>
      </c>
      <c r="E14" s="2" t="s">
        <v>46</v>
      </c>
      <c r="F14" s="2">
        <v>120</v>
      </c>
      <c r="G14" s="2">
        <v>35</v>
      </c>
      <c r="H14" s="2"/>
      <c r="I14" s="77" t="str">
        <f t="shared" si="2"/>
        <v>Coffee Maker Nespresso</v>
      </c>
      <c r="J14" s="75">
        <v>120</v>
      </c>
      <c r="K14" s="72" t="str">
        <f t="shared" si="3"/>
        <v>08-12-2026</v>
      </c>
      <c r="L14" s="71">
        <f t="shared" si="4"/>
        <v>45999</v>
      </c>
      <c r="R14" s="79" t="s">
        <v>130</v>
      </c>
    </row>
    <row r="15" spans="1:18">
      <c r="A15" s="3" t="s">
        <v>47</v>
      </c>
      <c r="B15" s="43" t="str">
        <f t="shared" si="0"/>
        <v>18-FEB</v>
      </c>
      <c r="C15" s="40" t="str">
        <f t="shared" si="1"/>
        <v>CA</v>
      </c>
      <c r="D15" s="3" t="s">
        <v>48</v>
      </c>
      <c r="E15" s="3" t="s">
        <v>49</v>
      </c>
      <c r="F15" s="3">
        <v>150</v>
      </c>
      <c r="G15" s="3">
        <v>15</v>
      </c>
      <c r="H15" s="3" t="s">
        <v>27</v>
      </c>
      <c r="I15" s="77" t="str">
        <f t="shared" si="2"/>
        <v>Smartwatch Fitbit</v>
      </c>
      <c r="J15" s="74">
        <v>150</v>
      </c>
      <c r="K15" s="72" t="str">
        <f t="shared" si="3"/>
        <v>18-02-2026</v>
      </c>
      <c r="L15" s="71">
        <f t="shared" si="4"/>
        <v>45706</v>
      </c>
    </row>
    <row r="16" spans="1:18">
      <c r="A16" s="2" t="s">
        <v>50</v>
      </c>
      <c r="B16" s="43" t="str">
        <f t="shared" si="0"/>
        <v>16-APR</v>
      </c>
      <c r="C16" s="40" t="str">
        <f t="shared" si="1"/>
        <v>ES</v>
      </c>
      <c r="D16" s="2" t="s">
        <v>51</v>
      </c>
      <c r="E16" s="2" t="s">
        <v>52</v>
      </c>
      <c r="F16" s="2">
        <v>250</v>
      </c>
      <c r="G16" s="2">
        <v>20</v>
      </c>
      <c r="H16" s="2" t="s">
        <v>27</v>
      </c>
      <c r="I16" s="77" t="str">
        <f t="shared" si="2"/>
        <v>headphones Bose</v>
      </c>
      <c r="J16" s="75">
        <v>250</v>
      </c>
      <c r="K16" s="72" t="str">
        <f t="shared" si="3"/>
        <v>16-04-2026</v>
      </c>
      <c r="L16" s="71">
        <f t="shared" si="4"/>
        <v>45763</v>
      </c>
    </row>
    <row r="17" spans="1:12">
      <c r="A17" s="3" t="s">
        <v>53</v>
      </c>
      <c r="B17" s="43" t="str">
        <f t="shared" si="0"/>
        <v>21-AUG</v>
      </c>
      <c r="C17" s="40" t="str">
        <f t="shared" si="1"/>
        <v>CA</v>
      </c>
      <c r="D17" s="3" t="s">
        <v>54</v>
      </c>
      <c r="E17" s="3" t="s">
        <v>55</v>
      </c>
      <c r="F17" s="3">
        <v>50</v>
      </c>
      <c r="G17" s="3">
        <v>35</v>
      </c>
      <c r="H17" s="3" t="s">
        <v>56</v>
      </c>
      <c r="I17" s="77" t="str">
        <f>D17 &amp; " " &amp; E17</f>
        <v>Laptop Bag Samsonite</v>
      </c>
      <c r="J17" s="74">
        <v>50</v>
      </c>
      <c r="K17" s="72" t="str">
        <f t="shared" si="3"/>
        <v>21-08-2026</v>
      </c>
      <c r="L17" s="71">
        <f t="shared" si="4"/>
        <v>45890</v>
      </c>
    </row>
    <row r="18" spans="1:12">
      <c r="A18" s="2" t="s">
        <v>57</v>
      </c>
      <c r="B18" s="43" t="str">
        <f t="shared" si="0"/>
        <v>20-AUG</v>
      </c>
      <c r="C18" s="40" t="str">
        <f t="shared" si="1"/>
        <v>CN</v>
      </c>
      <c r="D18" s="2" t="s">
        <v>48</v>
      </c>
      <c r="E18" s="2" t="s">
        <v>58</v>
      </c>
      <c r="F18" s="2">
        <v>160</v>
      </c>
      <c r="G18" s="2">
        <v>15</v>
      </c>
      <c r="H18" s="2" t="s">
        <v>27</v>
      </c>
      <c r="I18" s="77" t="str">
        <f t="shared" ref="I18:I35" si="5">D18 &amp; " " &amp; E18</f>
        <v>Smartwatch Huawei</v>
      </c>
      <c r="J18" s="75">
        <v>160</v>
      </c>
      <c r="K18" s="72" t="str">
        <f t="shared" si="3"/>
        <v>20-08-2026</v>
      </c>
      <c r="L18" s="71">
        <f t="shared" si="4"/>
        <v>45889</v>
      </c>
    </row>
    <row r="19" spans="1:12">
      <c r="A19" s="3" t="s">
        <v>59</v>
      </c>
      <c r="B19" s="43" t="str">
        <f t="shared" si="0"/>
        <v>27-JAN</v>
      </c>
      <c r="C19" s="40" t="str">
        <f t="shared" si="1"/>
        <v>IT</v>
      </c>
      <c r="D19" s="3" t="s">
        <v>7</v>
      </c>
      <c r="E19" s="3" t="s">
        <v>60</v>
      </c>
      <c r="F19" s="3">
        <v>980</v>
      </c>
      <c r="G19" s="3">
        <v>10</v>
      </c>
      <c r="H19" s="3" t="s">
        <v>9</v>
      </c>
      <c r="I19" s="77" t="str">
        <f t="shared" si="5"/>
        <v>laptop Asus</v>
      </c>
      <c r="J19" s="74">
        <v>980</v>
      </c>
      <c r="K19" s="72" t="str">
        <f t="shared" si="3"/>
        <v>27-01-2026</v>
      </c>
      <c r="L19" s="71">
        <f t="shared" si="4"/>
        <v>45684</v>
      </c>
    </row>
    <row r="20" spans="1:12">
      <c r="A20" s="2" t="s">
        <v>61</v>
      </c>
      <c r="B20" s="43" t="str">
        <f t="shared" si="0"/>
        <v>01-MAR</v>
      </c>
      <c r="C20" s="40" t="str">
        <f t="shared" si="1"/>
        <v>UK</v>
      </c>
      <c r="D20" s="2" t="s">
        <v>62</v>
      </c>
      <c r="E20" s="2" t="s">
        <v>63</v>
      </c>
      <c r="F20" s="2">
        <v>150</v>
      </c>
      <c r="G20" s="2">
        <v>15</v>
      </c>
      <c r="H20" s="2" t="s">
        <v>13</v>
      </c>
      <c r="I20" s="77" t="str">
        <f t="shared" si="5"/>
        <v>Sunglasses Oakley</v>
      </c>
      <c r="J20" s="75">
        <v>150</v>
      </c>
      <c r="K20" s="72" t="str">
        <f t="shared" si="3"/>
        <v>01-03-2026</v>
      </c>
      <c r="L20" s="71">
        <f t="shared" si="4"/>
        <v>45717</v>
      </c>
    </row>
    <row r="21" spans="1:12">
      <c r="A21" s="3" t="s">
        <v>64</v>
      </c>
      <c r="B21" s="43" t="str">
        <f t="shared" si="0"/>
        <v>14-AUG</v>
      </c>
      <c r="C21" s="40" t="str">
        <f t="shared" si="1"/>
        <v>US</v>
      </c>
      <c r="D21" s="3" t="s">
        <v>65</v>
      </c>
      <c r="E21" s="3" t="s">
        <v>66</v>
      </c>
      <c r="F21" s="3"/>
      <c r="G21" s="3">
        <v>10</v>
      </c>
      <c r="H21" s="3" t="s">
        <v>40</v>
      </c>
      <c r="I21" s="77" t="str">
        <f t="shared" si="5"/>
        <v>Camping Tent Coleman</v>
      </c>
      <c r="J21" s="74"/>
      <c r="K21" s="72" t="str">
        <f t="shared" si="3"/>
        <v>14-08-2026</v>
      </c>
      <c r="L21" s="71">
        <f t="shared" si="4"/>
        <v>45883</v>
      </c>
    </row>
    <row r="22" spans="1:12">
      <c r="A22" s="2" t="s">
        <v>67</v>
      </c>
      <c r="B22" s="43" t="str">
        <f t="shared" si="0"/>
        <v>14-MAY</v>
      </c>
      <c r="C22" s="40" t="str">
        <f t="shared" si="1"/>
        <v>RU</v>
      </c>
      <c r="D22" s="2" t="s">
        <v>68</v>
      </c>
      <c r="E22" s="2" t="s">
        <v>69</v>
      </c>
      <c r="F22" s="2">
        <v>700</v>
      </c>
      <c r="G22" s="2">
        <v>50</v>
      </c>
      <c r="H22" s="2" t="s">
        <v>9</v>
      </c>
      <c r="I22" s="77" t="str">
        <f t="shared" si="5"/>
        <v>Camera Nikon</v>
      </c>
      <c r="J22" s="75">
        <v>700</v>
      </c>
      <c r="K22" s="72" t="str">
        <f t="shared" si="3"/>
        <v>14-05-2026</v>
      </c>
      <c r="L22" s="71">
        <f>DATEVALUE(B22 &amp; "-2025")</f>
        <v>45791</v>
      </c>
    </row>
    <row r="23" spans="1:12">
      <c r="A23" s="3" t="s">
        <v>70</v>
      </c>
      <c r="B23" s="43" t="str">
        <f t="shared" si="0"/>
        <v>09-JAN</v>
      </c>
      <c r="C23" s="40" t="str">
        <f t="shared" si="1"/>
        <v>CA</v>
      </c>
      <c r="D23" s="3" t="s">
        <v>71</v>
      </c>
      <c r="E23" s="3" t="s">
        <v>72</v>
      </c>
      <c r="F23" s="3">
        <v>80</v>
      </c>
      <c r="G23" s="3">
        <v>20</v>
      </c>
      <c r="H23" s="3" t="s">
        <v>17</v>
      </c>
      <c r="I23" s="77" t="str">
        <f t="shared" si="5"/>
        <v>Microwave Panasonic</v>
      </c>
      <c r="J23" s="74">
        <v>80</v>
      </c>
      <c r="K23" s="72" t="str">
        <f t="shared" si="3"/>
        <v>09-01-2026</v>
      </c>
      <c r="L23" s="71">
        <f t="shared" si="4"/>
        <v>45666</v>
      </c>
    </row>
    <row r="24" spans="1:12">
      <c r="A24" s="2" t="s">
        <v>73</v>
      </c>
      <c r="B24" s="43" t="str">
        <f t="shared" si="0"/>
        <v>19-JUL</v>
      </c>
      <c r="C24" s="40" t="str">
        <f t="shared" si="1"/>
        <v>BR</v>
      </c>
      <c r="D24" s="2" t="s">
        <v>74</v>
      </c>
      <c r="E24" s="2" t="s">
        <v>75</v>
      </c>
      <c r="F24" s="2">
        <v>150</v>
      </c>
      <c r="G24" s="2">
        <v>30</v>
      </c>
      <c r="H24" s="2"/>
      <c r="I24" s="77" t="str">
        <f t="shared" si="5"/>
        <v>Fitness Tracker Xiaomi</v>
      </c>
      <c r="J24" s="75">
        <v>150</v>
      </c>
      <c r="K24" s="72" t="str">
        <f t="shared" si="3"/>
        <v>19-07-2026</v>
      </c>
      <c r="L24" s="71">
        <f t="shared" si="4"/>
        <v>45857</v>
      </c>
    </row>
    <row r="25" spans="1:12">
      <c r="A25" s="3" t="s">
        <v>53</v>
      </c>
      <c r="B25" s="43" t="str">
        <f t="shared" si="0"/>
        <v>21-AUG</v>
      </c>
      <c r="C25" s="40" t="str">
        <f t="shared" si="1"/>
        <v>CA</v>
      </c>
      <c r="D25" s="3" t="s">
        <v>54</v>
      </c>
      <c r="E25" s="3" t="s">
        <v>55</v>
      </c>
      <c r="F25" s="3">
        <v>50</v>
      </c>
      <c r="G25" s="3">
        <v>35</v>
      </c>
      <c r="H25" s="3" t="s">
        <v>56</v>
      </c>
      <c r="I25" s="77" t="str">
        <f t="shared" si="5"/>
        <v>Laptop Bag Samsonite</v>
      </c>
      <c r="J25" s="74">
        <v>50</v>
      </c>
      <c r="K25" s="72" t="str">
        <f t="shared" si="3"/>
        <v>21-08-2026</v>
      </c>
      <c r="L25" s="71">
        <f t="shared" si="4"/>
        <v>45890</v>
      </c>
    </row>
    <row r="26" spans="1:12">
      <c r="A26" s="2" t="s">
        <v>76</v>
      </c>
      <c r="B26" s="43" t="str">
        <f t="shared" si="0"/>
        <v>29-SEP</v>
      </c>
      <c r="C26" s="40" t="str">
        <f t="shared" si="1"/>
        <v>CA</v>
      </c>
      <c r="D26" s="2" t="s">
        <v>77</v>
      </c>
      <c r="E26" s="2" t="s">
        <v>78</v>
      </c>
      <c r="F26" s="2">
        <v>800</v>
      </c>
      <c r="G26" s="2">
        <v>45</v>
      </c>
      <c r="H26" s="2" t="s">
        <v>9</v>
      </c>
      <c r="I26" s="77" t="str">
        <f t="shared" si="5"/>
        <v>Smartphone Google</v>
      </c>
      <c r="J26" s="75">
        <v>800</v>
      </c>
      <c r="K26" s="72" t="str">
        <f t="shared" si="3"/>
        <v>29-09-2026</v>
      </c>
      <c r="L26" s="71">
        <f t="shared" si="4"/>
        <v>45929</v>
      </c>
    </row>
    <row r="27" spans="1:12">
      <c r="A27" s="3" t="s">
        <v>79</v>
      </c>
      <c r="B27" s="43" t="str">
        <f t="shared" si="0"/>
        <v>03-JUN</v>
      </c>
      <c r="C27" s="40" t="str">
        <f t="shared" si="1"/>
        <v>CA</v>
      </c>
      <c r="D27" s="3" t="s">
        <v>62</v>
      </c>
      <c r="E27" s="3" t="s">
        <v>80</v>
      </c>
      <c r="F27" s="3"/>
      <c r="G27" s="3">
        <v>25</v>
      </c>
      <c r="H27" s="3" t="s">
        <v>13</v>
      </c>
      <c r="I27" s="77" t="str">
        <f t="shared" si="5"/>
        <v>Sunglasses Ray-Ban</v>
      </c>
      <c r="J27" s="74"/>
      <c r="K27" s="72" t="str">
        <f t="shared" si="3"/>
        <v>03-06-2026</v>
      </c>
      <c r="L27" s="71">
        <f t="shared" si="4"/>
        <v>45811</v>
      </c>
    </row>
    <row r="28" spans="1:12">
      <c r="A28" s="2" t="s">
        <v>81</v>
      </c>
      <c r="B28" s="43" t="str">
        <f t="shared" si="0"/>
        <v>11-JUL</v>
      </c>
      <c r="C28" s="40" t="str">
        <f t="shared" si="1"/>
        <v>CA</v>
      </c>
      <c r="D28" s="2" t="s">
        <v>32</v>
      </c>
      <c r="E28" s="2" t="s">
        <v>82</v>
      </c>
      <c r="F28" s="2">
        <v>400</v>
      </c>
      <c r="G28" s="2">
        <v>40</v>
      </c>
      <c r="H28" s="2" t="s">
        <v>17</v>
      </c>
      <c r="I28" s="77" t="str">
        <f t="shared" si="5"/>
        <v>Blender Vitamix</v>
      </c>
      <c r="J28" s="75">
        <v>400</v>
      </c>
      <c r="K28" s="72" t="str">
        <f t="shared" si="3"/>
        <v>11-07-2026</v>
      </c>
      <c r="L28" s="71">
        <f t="shared" si="4"/>
        <v>45849</v>
      </c>
    </row>
    <row r="29" spans="1:12">
      <c r="A29" s="3" t="s">
        <v>50</v>
      </c>
      <c r="B29" s="43" t="str">
        <f t="shared" si="0"/>
        <v>16-APR</v>
      </c>
      <c r="C29" s="40" t="str">
        <f t="shared" si="1"/>
        <v>ES</v>
      </c>
      <c r="D29" s="3" t="s">
        <v>51</v>
      </c>
      <c r="E29" s="3" t="s">
        <v>52</v>
      </c>
      <c r="F29" s="3">
        <v>250</v>
      </c>
      <c r="G29" s="3">
        <v>20</v>
      </c>
      <c r="H29" s="3" t="s">
        <v>27</v>
      </c>
      <c r="I29" s="77" t="str">
        <f t="shared" si="5"/>
        <v>headphones Bose</v>
      </c>
      <c r="J29" s="74">
        <v>250</v>
      </c>
      <c r="K29" s="72" t="str">
        <f t="shared" si="3"/>
        <v>16-04-2026</v>
      </c>
      <c r="L29" s="71">
        <f t="shared" si="4"/>
        <v>45763</v>
      </c>
    </row>
    <row r="30" spans="1:12">
      <c r="A30" s="2" t="s">
        <v>83</v>
      </c>
      <c r="B30" s="43" t="str">
        <f t="shared" si="0"/>
        <v>07-MAR</v>
      </c>
      <c r="C30" s="40" t="str">
        <f t="shared" si="1"/>
        <v>CA</v>
      </c>
      <c r="D30" s="2" t="s">
        <v>84</v>
      </c>
      <c r="E30" s="2" t="s">
        <v>85</v>
      </c>
      <c r="F30" s="2">
        <v>60</v>
      </c>
      <c r="G30" s="2">
        <v>30</v>
      </c>
      <c r="H30" s="2" t="s">
        <v>13</v>
      </c>
      <c r="I30" s="77" t="str">
        <f t="shared" si="5"/>
        <v>Dress Zara</v>
      </c>
      <c r="J30" s="75">
        <v>60</v>
      </c>
      <c r="K30" s="72" t="str">
        <f t="shared" si="3"/>
        <v>07-03-2026</v>
      </c>
      <c r="L30" s="71">
        <f t="shared" si="4"/>
        <v>45723</v>
      </c>
    </row>
    <row r="31" spans="1:12">
      <c r="A31" s="3" t="s">
        <v>86</v>
      </c>
      <c r="B31" s="43" t="str">
        <f t="shared" si="0"/>
        <v>13-APR</v>
      </c>
      <c r="C31" s="40" t="str">
        <f t="shared" si="1"/>
        <v>CA</v>
      </c>
      <c r="D31" s="3" t="s">
        <v>87</v>
      </c>
      <c r="E31" s="3" t="s">
        <v>88</v>
      </c>
      <c r="F31" s="3">
        <v>40</v>
      </c>
      <c r="G31" s="3">
        <v>10</v>
      </c>
      <c r="H31" s="3" t="s">
        <v>17</v>
      </c>
      <c r="I31" s="77" t="str">
        <f t="shared" si="5"/>
        <v>Toaster Hamilton</v>
      </c>
      <c r="J31" s="74">
        <v>40</v>
      </c>
      <c r="K31" s="72" t="str">
        <f t="shared" si="3"/>
        <v>13-04-2026</v>
      </c>
      <c r="L31" s="71">
        <f t="shared" si="4"/>
        <v>45760</v>
      </c>
    </row>
    <row r="32" spans="1:12">
      <c r="A32" s="2" t="s">
        <v>89</v>
      </c>
      <c r="B32" s="43" t="str">
        <f t="shared" si="0"/>
        <v>24-MAY</v>
      </c>
      <c r="C32" s="40" t="str">
        <f t="shared" si="1"/>
        <v>CA</v>
      </c>
      <c r="D32" s="2" t="s">
        <v>74</v>
      </c>
      <c r="E32" s="2" t="s">
        <v>90</v>
      </c>
      <c r="F32" s="2">
        <v>130</v>
      </c>
      <c r="G32" s="2">
        <v>5</v>
      </c>
      <c r="H32" s="2" t="s">
        <v>9</v>
      </c>
      <c r="I32" s="77" t="str">
        <f t="shared" si="5"/>
        <v>Fitness Tracker Garmin</v>
      </c>
      <c r="J32" s="75">
        <v>130</v>
      </c>
      <c r="K32" s="72" t="str">
        <f t="shared" si="3"/>
        <v>24-05-2026</v>
      </c>
      <c r="L32" s="71">
        <f t="shared" si="4"/>
        <v>45801</v>
      </c>
    </row>
    <row r="33" spans="1:12">
      <c r="A33" s="3" t="s">
        <v>91</v>
      </c>
      <c r="B33" s="43" t="str">
        <f t="shared" si="0"/>
        <v>02-DEC</v>
      </c>
      <c r="C33" s="40" t="str">
        <f t="shared" si="1"/>
        <v>CA</v>
      </c>
      <c r="D33" s="3" t="s">
        <v>92</v>
      </c>
      <c r="E33" s="3" t="s">
        <v>93</v>
      </c>
      <c r="F33" s="3">
        <v>50</v>
      </c>
      <c r="G33" s="3">
        <v>50</v>
      </c>
      <c r="H33" s="3" t="s">
        <v>13</v>
      </c>
      <c r="I33" s="77" t="str">
        <f t="shared" si="5"/>
        <v>Jeans Levi's</v>
      </c>
      <c r="J33" s="74">
        <v>50</v>
      </c>
      <c r="K33" s="72" t="str">
        <f t="shared" si="3"/>
        <v>02-12-2026</v>
      </c>
      <c r="L33" s="71">
        <f t="shared" si="4"/>
        <v>45993</v>
      </c>
    </row>
    <row r="34" spans="1:12">
      <c r="A34" s="2" t="s">
        <v>41</v>
      </c>
      <c r="B34" s="43" t="str">
        <f t="shared" si="0"/>
        <v>17-JUN</v>
      </c>
      <c r="C34" s="40" t="str">
        <f t="shared" si="1"/>
        <v>IN</v>
      </c>
      <c r="D34" s="2" t="s">
        <v>42</v>
      </c>
      <c r="E34" s="2" t="s">
        <v>43</v>
      </c>
      <c r="F34" s="2">
        <v>950</v>
      </c>
      <c r="G34" s="2">
        <v>25</v>
      </c>
      <c r="H34" s="2" t="s">
        <v>9</v>
      </c>
      <c r="I34" s="77" t="str">
        <f t="shared" si="5"/>
        <v>Laptop HP</v>
      </c>
      <c r="J34" s="75">
        <v>950</v>
      </c>
      <c r="K34" s="72" t="str">
        <f t="shared" si="3"/>
        <v>17-06-2026</v>
      </c>
      <c r="L34" s="71">
        <f t="shared" si="4"/>
        <v>45825</v>
      </c>
    </row>
    <row r="35" spans="1:12">
      <c r="A35" s="3" t="s">
        <v>94</v>
      </c>
      <c r="B35" s="43" t="str">
        <f t="shared" si="0"/>
        <v>09-JUL</v>
      </c>
      <c r="C35" s="40" t="str">
        <f t="shared" si="1"/>
        <v>FR</v>
      </c>
      <c r="D35" s="3" t="s">
        <v>95</v>
      </c>
      <c r="E35" s="3" t="s">
        <v>96</v>
      </c>
      <c r="F35" s="3">
        <v>100</v>
      </c>
      <c r="G35" s="3">
        <v>20</v>
      </c>
      <c r="H35" s="3" t="s">
        <v>56</v>
      </c>
      <c r="I35" s="77" t="str">
        <f t="shared" si="5"/>
        <v>Watch Casio</v>
      </c>
      <c r="J35" s="74">
        <v>100</v>
      </c>
      <c r="K35" s="72" t="str">
        <f t="shared" si="3"/>
        <v>09-07-2026</v>
      </c>
      <c r="L35" s="71">
        <f t="shared" si="4"/>
        <v>45847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>
      <selection activeCell="S14" sqref="S14"/>
    </sheetView>
  </sheetViews>
  <sheetFormatPr defaultRowHeight="15"/>
  <cols>
    <col min="1" max="1" width="15.85546875" customWidth="1"/>
    <col min="2" max="2" width="15.5703125" customWidth="1"/>
    <col min="3" max="3" width="13.7109375" customWidth="1"/>
    <col min="4" max="4" width="17.28515625" customWidth="1"/>
    <col min="5" max="5" width="10.28515625" customWidth="1"/>
    <col min="6" max="6" width="14.85546875" customWidth="1"/>
    <col min="7" max="7" width="28.42578125" customWidth="1"/>
    <col min="8" max="8" width="29.28515625" customWidth="1"/>
    <col min="9" max="9" width="44.140625" customWidth="1"/>
    <col min="10" max="10" width="45.7109375" customWidth="1"/>
    <col min="11" max="11" width="37.5703125" customWidth="1"/>
    <col min="12" max="12" width="34" customWidth="1"/>
    <col min="13" max="13" width="58.42578125" customWidth="1"/>
    <col min="19" max="19" width="44.140625" customWidth="1"/>
  </cols>
  <sheetData>
    <row r="1" spans="1:19" ht="15.75" thickBo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100</v>
      </c>
      <c r="H1" s="52" t="s">
        <v>99</v>
      </c>
      <c r="I1" s="52" t="s">
        <v>119</v>
      </c>
      <c r="J1" s="52" t="s">
        <v>115</v>
      </c>
      <c r="K1" s="52" t="s">
        <v>101</v>
      </c>
      <c r="L1" s="52" t="s">
        <v>113</v>
      </c>
      <c r="M1" s="52" t="s">
        <v>122</v>
      </c>
    </row>
    <row r="2" spans="1:19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46" t="b">
        <f t="shared" ref="G2:G17" si="0">ISBLANK(D2)</f>
        <v>0</v>
      </c>
      <c r="H2" s="47" t="b">
        <f t="shared" ref="H2:H17" si="1">ISBLANK(F2)</f>
        <v>0</v>
      </c>
      <c r="I2" s="48">
        <f>IF(ISBLANK(D2),AVERAGE($D$2:$D$32),D2)</f>
        <v>1000</v>
      </c>
      <c r="J2" s="48">
        <f>IF(ISBLANK(D2),ROUND(AVERAGE($D$2:$D$32),0),D2)</f>
        <v>1000</v>
      </c>
      <c r="K2" s="49" t="str">
        <f>IF(ISBLANK(F2),K2,F2)</f>
        <v>Electronics</v>
      </c>
      <c r="L2" s="50">
        <f>IF(ISBLANK(D2),AVERAGEIF($K$2:$K$32,K2,$D$2:$D$32),D2)</f>
        <v>1000</v>
      </c>
      <c r="M2" s="62">
        <f>IF(ISBLANK(D2),ROUND(AVERAGEIF($K$2:$K$32,K2,$D$2:$D$32),0),D2)</f>
        <v>1000</v>
      </c>
    </row>
    <row r="3" spans="1:19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7" t="b">
        <f t="shared" si="0"/>
        <v>0</v>
      </c>
      <c r="H3" s="9" t="b">
        <f t="shared" si="1"/>
        <v>0</v>
      </c>
      <c r="I3" s="48">
        <f t="shared" ref="I3:I32" si="2">IF(ISBLANK(D3),AVERAGE($D$2:$D$32),D3)</f>
        <v>80</v>
      </c>
      <c r="J3" s="48">
        <f t="shared" ref="J3:J32" si="3">IF(ISBLANK(D3),ROUND(AVERAGE($D$2:$D$32),0),D3)</f>
        <v>80</v>
      </c>
      <c r="K3" s="10" t="str">
        <f t="shared" ref="K3:K32" si="4">IF(ISBLANK(F3),"Unknown",F3)</f>
        <v>Fashion</v>
      </c>
      <c r="L3" s="40">
        <f t="shared" ref="L3:L32" si="5">IF(ISBLANK(D3),AVERAGEIF($K$2:$K$32,K3,$D$2:$D$32),D3)</f>
        <v>80</v>
      </c>
      <c r="M3" s="40">
        <f t="shared" ref="M3:M32" si="6">IF(ISBLANK(D3),ROUND(AVERAGEIF($K$2:$K$32,K3,$D$2:$D$32),0),D3)</f>
        <v>80</v>
      </c>
    </row>
    <row r="4" spans="1:19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7" t="b">
        <f t="shared" si="0"/>
        <v>0</v>
      </c>
      <c r="H4" s="9" t="b">
        <f t="shared" si="1"/>
        <v>0</v>
      </c>
      <c r="I4" s="48">
        <f t="shared" si="2"/>
        <v>130</v>
      </c>
      <c r="J4" s="48">
        <f t="shared" si="3"/>
        <v>130</v>
      </c>
      <c r="K4" s="10" t="str">
        <f t="shared" si="4"/>
        <v>Kitchen</v>
      </c>
      <c r="L4" s="40">
        <f t="shared" si="5"/>
        <v>130</v>
      </c>
      <c r="M4" s="40">
        <f t="shared" si="6"/>
        <v>130</v>
      </c>
    </row>
    <row r="5" spans="1:19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7" t="b">
        <f t="shared" si="0"/>
        <v>0</v>
      </c>
      <c r="H5" s="9" t="b">
        <f t="shared" si="1"/>
        <v>0</v>
      </c>
      <c r="I5" s="48">
        <f t="shared" si="2"/>
        <v>900</v>
      </c>
      <c r="J5" s="48">
        <f t="shared" si="3"/>
        <v>900</v>
      </c>
      <c r="K5" s="10" t="str">
        <f t="shared" si="4"/>
        <v>Electronics</v>
      </c>
      <c r="L5" s="40">
        <f t="shared" si="5"/>
        <v>900</v>
      </c>
      <c r="M5" s="40">
        <f t="shared" si="6"/>
        <v>900</v>
      </c>
    </row>
    <row r="6" spans="1:19">
      <c r="A6" s="16" t="s">
        <v>21</v>
      </c>
      <c r="B6" s="16" t="s">
        <v>22</v>
      </c>
      <c r="C6" s="16" t="s">
        <v>23</v>
      </c>
      <c r="D6" s="16">
        <v>70</v>
      </c>
      <c r="E6" s="16">
        <v>20</v>
      </c>
      <c r="F6" s="16"/>
      <c r="G6" s="35" t="b">
        <f t="shared" si="0"/>
        <v>0</v>
      </c>
      <c r="H6" s="36" t="b">
        <f t="shared" si="1"/>
        <v>1</v>
      </c>
      <c r="I6" s="48">
        <f t="shared" si="2"/>
        <v>70</v>
      </c>
      <c r="J6" s="48">
        <f t="shared" si="3"/>
        <v>70</v>
      </c>
      <c r="K6" s="27" t="str">
        <f t="shared" si="4"/>
        <v>Unknown</v>
      </c>
      <c r="L6" s="40">
        <f t="shared" si="5"/>
        <v>70</v>
      </c>
      <c r="M6" s="40">
        <f t="shared" si="6"/>
        <v>70</v>
      </c>
    </row>
    <row r="7" spans="1:19">
      <c r="A7" s="15" t="s">
        <v>24</v>
      </c>
      <c r="B7" s="15" t="s">
        <v>25</v>
      </c>
      <c r="C7" s="15" t="s">
        <v>26</v>
      </c>
      <c r="D7" s="15"/>
      <c r="E7" s="15">
        <v>45</v>
      </c>
      <c r="F7" s="15" t="s">
        <v>27</v>
      </c>
      <c r="G7" s="34" t="b">
        <f t="shared" si="0"/>
        <v>1</v>
      </c>
      <c r="H7" s="9" t="b">
        <f t="shared" si="1"/>
        <v>0</v>
      </c>
      <c r="I7" s="53">
        <f t="shared" si="2"/>
        <v>297.85714285714283</v>
      </c>
      <c r="J7" s="53">
        <f t="shared" si="3"/>
        <v>298</v>
      </c>
      <c r="K7" s="10" t="str">
        <f t="shared" si="4"/>
        <v>Electroni</v>
      </c>
      <c r="L7" s="45">
        <f t="shared" si="5"/>
        <v>186.66666666666666</v>
      </c>
      <c r="M7" s="45">
        <f t="shared" si="6"/>
        <v>187</v>
      </c>
    </row>
    <row r="8" spans="1:19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7" t="b">
        <f t="shared" si="0"/>
        <v>0</v>
      </c>
      <c r="H8" s="9" t="b">
        <f t="shared" si="1"/>
        <v>0</v>
      </c>
      <c r="I8" s="48">
        <f t="shared" si="2"/>
        <v>30</v>
      </c>
      <c r="J8" s="48">
        <f t="shared" si="3"/>
        <v>30</v>
      </c>
      <c r="K8" s="10" t="str">
        <f t="shared" si="4"/>
        <v>Fashion</v>
      </c>
      <c r="L8" s="40">
        <f t="shared" si="5"/>
        <v>30</v>
      </c>
      <c r="M8" s="40">
        <f t="shared" si="6"/>
        <v>30</v>
      </c>
    </row>
    <row r="9" spans="1:19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7" t="b">
        <f t="shared" si="0"/>
        <v>0</v>
      </c>
      <c r="H9" s="9" t="b">
        <f t="shared" si="1"/>
        <v>0</v>
      </c>
      <c r="I9" s="48">
        <f t="shared" si="2"/>
        <v>90</v>
      </c>
      <c r="J9" s="48">
        <f t="shared" si="3"/>
        <v>90</v>
      </c>
      <c r="K9" s="10" t="str">
        <f t="shared" si="4"/>
        <v>Kitchen</v>
      </c>
      <c r="L9" s="40">
        <f t="shared" si="5"/>
        <v>90</v>
      </c>
      <c r="M9" s="40">
        <f t="shared" si="6"/>
        <v>90</v>
      </c>
    </row>
    <row r="10" spans="1:19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13" t="s">
        <v>9</v>
      </c>
      <c r="G10" s="7" t="b">
        <f t="shared" si="0"/>
        <v>0</v>
      </c>
      <c r="H10" s="9" t="b">
        <f t="shared" si="1"/>
        <v>0</v>
      </c>
      <c r="I10" s="48">
        <f t="shared" si="2"/>
        <v>500</v>
      </c>
      <c r="J10" s="48">
        <f t="shared" si="3"/>
        <v>500</v>
      </c>
      <c r="K10" s="10" t="str">
        <f t="shared" si="4"/>
        <v>Electronics</v>
      </c>
      <c r="L10" s="40">
        <f t="shared" si="5"/>
        <v>500</v>
      </c>
      <c r="M10" s="40">
        <f t="shared" si="6"/>
        <v>500</v>
      </c>
    </row>
    <row r="11" spans="1:19" ht="10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s="7" t="b">
        <f t="shared" si="0"/>
        <v>0</v>
      </c>
      <c r="H11" s="9" t="b">
        <f t="shared" si="1"/>
        <v>0</v>
      </c>
      <c r="I11" s="48">
        <f t="shared" si="2"/>
        <v>130</v>
      </c>
      <c r="J11" s="48">
        <f t="shared" si="3"/>
        <v>130</v>
      </c>
      <c r="K11" s="10" t="str">
        <f t="shared" si="4"/>
        <v>Outdoor</v>
      </c>
      <c r="L11" s="40">
        <f t="shared" si="5"/>
        <v>130</v>
      </c>
      <c r="M11" s="40">
        <f t="shared" si="6"/>
        <v>130</v>
      </c>
      <c r="S11" s="25" t="s">
        <v>127</v>
      </c>
    </row>
    <row r="12" spans="1:19">
      <c r="A12" s="31" t="s">
        <v>41</v>
      </c>
      <c r="B12" s="31" t="s">
        <v>42</v>
      </c>
      <c r="C12" s="31" t="s">
        <v>43</v>
      </c>
      <c r="D12" s="31">
        <v>950</v>
      </c>
      <c r="E12" s="31">
        <v>25</v>
      </c>
      <c r="F12" s="31" t="s">
        <v>9</v>
      </c>
      <c r="G12" s="7" t="b">
        <f t="shared" si="0"/>
        <v>0</v>
      </c>
      <c r="H12" s="9" t="b">
        <f t="shared" si="1"/>
        <v>0</v>
      </c>
      <c r="I12" s="48">
        <f t="shared" si="2"/>
        <v>950</v>
      </c>
      <c r="J12" s="48">
        <f t="shared" si="3"/>
        <v>950</v>
      </c>
      <c r="K12" s="10" t="str">
        <f t="shared" si="4"/>
        <v>Electronics</v>
      </c>
      <c r="L12" s="40">
        <f t="shared" si="5"/>
        <v>950</v>
      </c>
      <c r="M12" s="40">
        <f t="shared" si="6"/>
        <v>950</v>
      </c>
    </row>
    <row r="13" spans="1:19">
      <c r="A13" s="37" t="s">
        <v>44</v>
      </c>
      <c r="B13" s="37" t="s">
        <v>11</v>
      </c>
      <c r="C13" s="37" t="s">
        <v>30</v>
      </c>
      <c r="D13" s="37">
        <v>90</v>
      </c>
      <c r="E13" s="37">
        <v>40</v>
      </c>
      <c r="F13" s="37"/>
      <c r="G13" s="35" t="b">
        <f t="shared" si="0"/>
        <v>0</v>
      </c>
      <c r="H13" s="36" t="b">
        <f t="shared" si="1"/>
        <v>1</v>
      </c>
      <c r="I13" s="48">
        <f t="shared" si="2"/>
        <v>90</v>
      </c>
      <c r="J13" s="48">
        <f t="shared" si="3"/>
        <v>90</v>
      </c>
      <c r="K13" s="27" t="str">
        <f t="shared" si="4"/>
        <v>Unknown</v>
      </c>
      <c r="L13" s="40">
        <f t="shared" si="5"/>
        <v>90</v>
      </c>
      <c r="M13" s="40">
        <f t="shared" si="6"/>
        <v>90</v>
      </c>
    </row>
    <row r="14" spans="1:19" ht="120">
      <c r="A14" s="16" t="s">
        <v>45</v>
      </c>
      <c r="B14" s="16" t="s">
        <v>15</v>
      </c>
      <c r="C14" s="16" t="s">
        <v>46</v>
      </c>
      <c r="D14" s="16">
        <v>120</v>
      </c>
      <c r="E14" s="16">
        <v>35</v>
      </c>
      <c r="F14" s="16"/>
      <c r="G14" s="35" t="b">
        <f t="shared" si="0"/>
        <v>0</v>
      </c>
      <c r="H14" s="36" t="b">
        <f t="shared" si="1"/>
        <v>1</v>
      </c>
      <c r="I14" s="48">
        <f t="shared" si="2"/>
        <v>120</v>
      </c>
      <c r="J14" s="48">
        <f t="shared" si="3"/>
        <v>120</v>
      </c>
      <c r="K14" s="27" t="str">
        <f t="shared" si="4"/>
        <v>Unknown</v>
      </c>
      <c r="L14" s="40">
        <f t="shared" si="5"/>
        <v>120</v>
      </c>
      <c r="M14" s="40">
        <f t="shared" si="6"/>
        <v>120</v>
      </c>
      <c r="S14" s="69" t="s">
        <v>128</v>
      </c>
    </row>
    <row r="15" spans="1:19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G15" s="7" t="b">
        <f t="shared" si="0"/>
        <v>0</v>
      </c>
      <c r="H15" s="9" t="b">
        <f t="shared" si="1"/>
        <v>0</v>
      </c>
      <c r="I15" s="48">
        <f t="shared" si="2"/>
        <v>150</v>
      </c>
      <c r="J15" s="48">
        <f t="shared" si="3"/>
        <v>150</v>
      </c>
      <c r="K15" s="10" t="str">
        <f t="shared" si="4"/>
        <v>Electroni</v>
      </c>
      <c r="L15" s="40">
        <f t="shared" si="5"/>
        <v>150</v>
      </c>
      <c r="M15" s="40">
        <f t="shared" si="6"/>
        <v>150</v>
      </c>
    </row>
    <row r="16" spans="1:19">
      <c r="A16" s="31" t="s">
        <v>50</v>
      </c>
      <c r="B16" s="31" t="s">
        <v>51</v>
      </c>
      <c r="C16" s="31" t="s">
        <v>52</v>
      </c>
      <c r="D16" s="31">
        <v>250</v>
      </c>
      <c r="E16" s="31">
        <v>20</v>
      </c>
      <c r="F16" s="31" t="s">
        <v>27</v>
      </c>
      <c r="G16" s="7" t="b">
        <f t="shared" si="0"/>
        <v>0</v>
      </c>
      <c r="H16" s="9" t="b">
        <f t="shared" si="1"/>
        <v>0</v>
      </c>
      <c r="I16" s="48">
        <f t="shared" si="2"/>
        <v>250</v>
      </c>
      <c r="J16" s="48">
        <f t="shared" si="3"/>
        <v>250</v>
      </c>
      <c r="K16" s="10" t="str">
        <f t="shared" si="4"/>
        <v>Electroni</v>
      </c>
      <c r="L16" s="40">
        <f t="shared" si="5"/>
        <v>250</v>
      </c>
      <c r="M16" s="40">
        <f t="shared" si="6"/>
        <v>250</v>
      </c>
    </row>
    <row r="17" spans="1:13">
      <c r="A17" s="32" t="s">
        <v>53</v>
      </c>
      <c r="B17" s="32" t="s">
        <v>54</v>
      </c>
      <c r="C17" s="32" t="s">
        <v>55</v>
      </c>
      <c r="D17" s="32">
        <v>50</v>
      </c>
      <c r="E17" s="32">
        <v>35</v>
      </c>
      <c r="F17" s="32" t="s">
        <v>56</v>
      </c>
      <c r="G17" s="7" t="b">
        <f t="shared" si="0"/>
        <v>0</v>
      </c>
      <c r="H17" s="9" t="b">
        <f t="shared" si="1"/>
        <v>0</v>
      </c>
      <c r="I17" s="48">
        <f t="shared" si="2"/>
        <v>50</v>
      </c>
      <c r="J17" s="48">
        <f t="shared" si="3"/>
        <v>50</v>
      </c>
      <c r="K17" s="10" t="str">
        <f t="shared" si="4"/>
        <v>Accessories</v>
      </c>
      <c r="L17" s="40">
        <f t="shared" si="5"/>
        <v>50</v>
      </c>
      <c r="M17" s="40">
        <f t="shared" si="6"/>
        <v>50</v>
      </c>
    </row>
    <row r="18" spans="1:13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G18" s="7" t="b">
        <f>F7=ISBLANK(D18)</f>
        <v>0</v>
      </c>
      <c r="H18" s="9" t="b">
        <f>G15=ISBLANK(F18)</f>
        <v>1</v>
      </c>
      <c r="I18" s="48">
        <f t="shared" si="2"/>
        <v>160</v>
      </c>
      <c r="J18" s="48">
        <f t="shared" si="3"/>
        <v>160</v>
      </c>
      <c r="K18" s="10" t="str">
        <f t="shared" si="4"/>
        <v>Electroni</v>
      </c>
      <c r="L18" s="40">
        <f t="shared" si="5"/>
        <v>160</v>
      </c>
      <c r="M18" s="40">
        <f t="shared" si="6"/>
        <v>160</v>
      </c>
    </row>
    <row r="19" spans="1:13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G19" s="7" t="b">
        <f t="shared" ref="G19:G31" si="7">ISBLANK(D19)</f>
        <v>0</v>
      </c>
      <c r="H19" s="9" t="b">
        <f t="shared" ref="H19:H32" si="8">ISBLANK(F19)</f>
        <v>0</v>
      </c>
      <c r="I19" s="48">
        <f t="shared" si="2"/>
        <v>980</v>
      </c>
      <c r="J19" s="48">
        <f t="shared" si="3"/>
        <v>980</v>
      </c>
      <c r="K19" s="10" t="str">
        <f t="shared" si="4"/>
        <v>Electronics</v>
      </c>
      <c r="L19" s="40">
        <f t="shared" si="5"/>
        <v>980</v>
      </c>
      <c r="M19" s="40">
        <f t="shared" si="6"/>
        <v>980</v>
      </c>
    </row>
    <row r="20" spans="1:13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s="7" t="b">
        <f t="shared" si="7"/>
        <v>0</v>
      </c>
      <c r="H20" s="9" t="b">
        <f t="shared" si="8"/>
        <v>0</v>
      </c>
      <c r="I20" s="48">
        <f t="shared" si="2"/>
        <v>150</v>
      </c>
      <c r="J20" s="48">
        <f t="shared" si="3"/>
        <v>150</v>
      </c>
      <c r="K20" s="10" t="str">
        <f t="shared" si="4"/>
        <v>Fashion</v>
      </c>
      <c r="L20" s="40">
        <f t="shared" si="5"/>
        <v>150</v>
      </c>
      <c r="M20" s="40">
        <f t="shared" si="6"/>
        <v>150</v>
      </c>
    </row>
    <row r="21" spans="1:13">
      <c r="A21" s="15" t="s">
        <v>64</v>
      </c>
      <c r="B21" s="15" t="s">
        <v>65</v>
      </c>
      <c r="C21" s="15" t="s">
        <v>66</v>
      </c>
      <c r="D21" s="15"/>
      <c r="E21" s="15">
        <v>10</v>
      </c>
      <c r="F21" s="15" t="s">
        <v>40</v>
      </c>
      <c r="G21" s="34" t="b">
        <f t="shared" si="7"/>
        <v>1</v>
      </c>
      <c r="H21" s="9" t="b">
        <f t="shared" si="8"/>
        <v>0</v>
      </c>
      <c r="I21" s="53">
        <f t="shared" si="2"/>
        <v>297.85714285714283</v>
      </c>
      <c r="J21" s="53">
        <f t="shared" si="3"/>
        <v>298</v>
      </c>
      <c r="K21" s="10" t="str">
        <f t="shared" si="4"/>
        <v>Outdoor</v>
      </c>
      <c r="L21" s="45">
        <f t="shared" si="5"/>
        <v>130</v>
      </c>
      <c r="M21" s="45">
        <f t="shared" si="6"/>
        <v>130</v>
      </c>
    </row>
    <row r="22" spans="1:13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s="7" t="b">
        <f t="shared" si="7"/>
        <v>0</v>
      </c>
      <c r="H22" s="9" t="b">
        <f t="shared" si="8"/>
        <v>0</v>
      </c>
      <c r="I22" s="48">
        <f t="shared" si="2"/>
        <v>700</v>
      </c>
      <c r="J22" s="48">
        <f t="shared" si="3"/>
        <v>700</v>
      </c>
      <c r="K22" s="10" t="str">
        <f t="shared" si="4"/>
        <v>Electronics</v>
      </c>
      <c r="L22" s="40">
        <f t="shared" si="5"/>
        <v>700</v>
      </c>
      <c r="M22" s="40">
        <f t="shared" si="6"/>
        <v>700</v>
      </c>
    </row>
    <row r="23" spans="1:13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s="7" t="b">
        <f t="shared" si="7"/>
        <v>0</v>
      </c>
      <c r="H23" s="9" t="b">
        <f t="shared" si="8"/>
        <v>0</v>
      </c>
      <c r="I23" s="48">
        <f t="shared" si="2"/>
        <v>80</v>
      </c>
      <c r="J23" s="48">
        <f t="shared" si="3"/>
        <v>80</v>
      </c>
      <c r="K23" s="10" t="str">
        <f t="shared" si="4"/>
        <v>Kitchen</v>
      </c>
      <c r="L23" s="40">
        <f t="shared" si="5"/>
        <v>80</v>
      </c>
      <c r="M23" s="40">
        <f t="shared" si="6"/>
        <v>80</v>
      </c>
    </row>
    <row r="24" spans="1:13">
      <c r="A24" s="16" t="s">
        <v>73</v>
      </c>
      <c r="B24" s="16" t="s">
        <v>74</v>
      </c>
      <c r="C24" s="16" t="s">
        <v>75</v>
      </c>
      <c r="D24" s="16">
        <v>150</v>
      </c>
      <c r="E24" s="16">
        <v>30</v>
      </c>
      <c r="F24" s="16"/>
      <c r="G24" s="35" t="b">
        <f t="shared" si="7"/>
        <v>0</v>
      </c>
      <c r="H24" s="36" t="b">
        <f t="shared" si="8"/>
        <v>1</v>
      </c>
      <c r="I24" s="48">
        <f t="shared" si="2"/>
        <v>150</v>
      </c>
      <c r="J24" s="48">
        <f t="shared" si="3"/>
        <v>150</v>
      </c>
      <c r="K24" s="27" t="str">
        <f t="shared" si="4"/>
        <v>Unknown</v>
      </c>
      <c r="L24" s="40">
        <f t="shared" si="5"/>
        <v>150</v>
      </c>
      <c r="M24" s="40">
        <f t="shared" si="6"/>
        <v>150</v>
      </c>
    </row>
    <row r="25" spans="1:13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s="7" t="b">
        <f t="shared" si="7"/>
        <v>0</v>
      </c>
      <c r="H25" s="9" t="b">
        <f t="shared" si="8"/>
        <v>0</v>
      </c>
      <c r="I25" s="48">
        <f t="shared" si="2"/>
        <v>800</v>
      </c>
      <c r="J25" s="48">
        <f t="shared" si="3"/>
        <v>800</v>
      </c>
      <c r="K25" s="10" t="str">
        <f t="shared" si="4"/>
        <v>Electronics</v>
      </c>
      <c r="L25" s="40">
        <f t="shared" si="5"/>
        <v>800</v>
      </c>
      <c r="M25" s="40">
        <f t="shared" si="6"/>
        <v>800</v>
      </c>
    </row>
    <row r="26" spans="1:13">
      <c r="A26" s="15" t="s">
        <v>79</v>
      </c>
      <c r="B26" s="15" t="s">
        <v>62</v>
      </c>
      <c r="C26" s="15" t="s">
        <v>80</v>
      </c>
      <c r="D26" s="15"/>
      <c r="E26" s="15">
        <v>25</v>
      </c>
      <c r="F26" s="15" t="s">
        <v>13</v>
      </c>
      <c r="G26" s="34" t="b">
        <f t="shared" si="7"/>
        <v>1</v>
      </c>
      <c r="H26" s="9" t="b">
        <f t="shared" si="8"/>
        <v>0</v>
      </c>
      <c r="I26" s="53">
        <f t="shared" si="2"/>
        <v>297.85714285714283</v>
      </c>
      <c r="J26" s="53">
        <f t="shared" si="3"/>
        <v>298</v>
      </c>
      <c r="K26" s="10" t="str">
        <f t="shared" si="4"/>
        <v>Fashion</v>
      </c>
      <c r="L26" s="45">
        <f t="shared" si="5"/>
        <v>74</v>
      </c>
      <c r="M26" s="66">
        <f t="shared" si="6"/>
        <v>74</v>
      </c>
    </row>
    <row r="27" spans="1:13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s="7" t="b">
        <f t="shared" si="7"/>
        <v>0</v>
      </c>
      <c r="H27" s="9" t="b">
        <f t="shared" si="8"/>
        <v>0</v>
      </c>
      <c r="I27" s="48">
        <f t="shared" si="2"/>
        <v>400</v>
      </c>
      <c r="J27" s="48">
        <f t="shared" si="3"/>
        <v>400</v>
      </c>
      <c r="K27" s="10" t="str">
        <f t="shared" si="4"/>
        <v>Kitchen</v>
      </c>
      <c r="L27" s="40">
        <f t="shared" si="5"/>
        <v>400</v>
      </c>
      <c r="M27" s="40">
        <f t="shared" si="6"/>
        <v>400</v>
      </c>
    </row>
    <row r="28" spans="1:13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s="7" t="b">
        <f t="shared" si="7"/>
        <v>0</v>
      </c>
      <c r="H28" s="9" t="b">
        <f t="shared" si="8"/>
        <v>0</v>
      </c>
      <c r="I28" s="48">
        <f t="shared" si="2"/>
        <v>60</v>
      </c>
      <c r="J28" s="48">
        <f t="shared" si="3"/>
        <v>60</v>
      </c>
      <c r="K28" s="10" t="str">
        <f t="shared" si="4"/>
        <v>Fashion</v>
      </c>
      <c r="L28" s="40">
        <f t="shared" si="5"/>
        <v>60</v>
      </c>
      <c r="M28" s="40">
        <f t="shared" si="6"/>
        <v>60</v>
      </c>
    </row>
    <row r="29" spans="1:13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s="7" t="b">
        <f t="shared" si="7"/>
        <v>0</v>
      </c>
      <c r="H29" s="9" t="b">
        <f t="shared" si="8"/>
        <v>0</v>
      </c>
      <c r="I29" s="48">
        <f t="shared" si="2"/>
        <v>40</v>
      </c>
      <c r="J29" s="48">
        <f t="shared" si="3"/>
        <v>40</v>
      </c>
      <c r="K29" s="10" t="str">
        <f t="shared" si="4"/>
        <v>Kitchen</v>
      </c>
      <c r="L29" s="40">
        <f t="shared" si="5"/>
        <v>40</v>
      </c>
      <c r="M29" s="40">
        <f t="shared" si="6"/>
        <v>40</v>
      </c>
    </row>
    <row r="30" spans="1:13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s="7" t="b">
        <f t="shared" si="7"/>
        <v>0</v>
      </c>
      <c r="H30" s="9" t="b">
        <f t="shared" si="8"/>
        <v>0</v>
      </c>
      <c r="I30" s="48">
        <f t="shared" si="2"/>
        <v>130</v>
      </c>
      <c r="J30" s="48">
        <f t="shared" si="3"/>
        <v>130</v>
      </c>
      <c r="K30" s="10" t="str">
        <f t="shared" si="4"/>
        <v>Electronics</v>
      </c>
      <c r="L30" s="40">
        <f t="shared" si="5"/>
        <v>130</v>
      </c>
      <c r="M30" s="40">
        <f t="shared" si="6"/>
        <v>130</v>
      </c>
    </row>
    <row r="31" spans="1:13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s="7" t="b">
        <f t="shared" si="7"/>
        <v>0</v>
      </c>
      <c r="H31" s="9" t="b">
        <f t="shared" si="8"/>
        <v>0</v>
      </c>
      <c r="I31" s="48">
        <f t="shared" si="2"/>
        <v>50</v>
      </c>
      <c r="J31" s="48">
        <f t="shared" si="3"/>
        <v>50</v>
      </c>
      <c r="K31" s="10" t="str">
        <f t="shared" si="4"/>
        <v>Fashion</v>
      </c>
      <c r="L31" s="40">
        <f t="shared" si="5"/>
        <v>50</v>
      </c>
      <c r="M31" s="40">
        <f t="shared" si="6"/>
        <v>50</v>
      </c>
    </row>
    <row r="32" spans="1:13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s="7" t="b">
        <f>ISBLANK(D32)</f>
        <v>0</v>
      </c>
      <c r="H32" s="9" t="b">
        <f t="shared" si="8"/>
        <v>0</v>
      </c>
      <c r="I32" s="48">
        <f t="shared" si="2"/>
        <v>100</v>
      </c>
      <c r="J32" s="48">
        <f t="shared" si="3"/>
        <v>100</v>
      </c>
      <c r="K32" s="10" t="str">
        <f t="shared" si="4"/>
        <v>Accessories</v>
      </c>
      <c r="L32" s="40">
        <f t="shared" si="5"/>
        <v>100</v>
      </c>
      <c r="M32" s="40">
        <f t="shared" si="6"/>
        <v>100</v>
      </c>
    </row>
    <row r="33" spans="1:6">
      <c r="A33" s="13"/>
      <c r="B33" s="13"/>
      <c r="C33" s="13"/>
      <c r="D33" s="13"/>
      <c r="E33" s="13"/>
      <c r="F33" s="13"/>
    </row>
    <row r="34" spans="1:6">
      <c r="A34" s="42"/>
      <c r="B34" s="42"/>
      <c r="C34" s="42"/>
      <c r="D34" s="42"/>
      <c r="E34" s="42"/>
      <c r="F34" s="42"/>
    </row>
  </sheetData>
  <conditionalFormatting sqref="D1:D34">
    <cfRule type="dataBar" priority="9">
      <dataBar>
        <cfvo type="min" val="0"/>
        <cfvo type="max" val="0"/>
        <color rgb="FFD6007B"/>
      </dataBar>
    </cfRule>
  </conditionalFormatting>
  <conditionalFormatting sqref="F1:F34">
    <cfRule type="colorScale" priority="10">
      <colorScale>
        <cfvo type="min" val="0"/>
        <cfvo type="max" val="0"/>
        <color rgb="FFFF7128"/>
        <color rgb="FFFFEF9C"/>
      </colorScale>
    </cfRule>
  </conditionalFormatting>
  <conditionalFormatting sqref="L1:L32">
    <cfRule type="dataBar" priority="6">
      <dataBar>
        <cfvo type="min" val="0"/>
        <cfvo type="max" val="0"/>
        <color rgb="FFFFB628"/>
      </dataBar>
    </cfRule>
  </conditionalFormatting>
  <conditionalFormatting sqref="M1:M32">
    <cfRule type="dataBar" priority="5">
      <dataBar>
        <cfvo type="min" val="0"/>
        <cfvo type="max" val="0"/>
        <color rgb="FFFFB628"/>
      </dataBar>
    </cfRule>
  </conditionalFormatting>
  <conditionalFormatting sqref="I1:J3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J3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">
      <colorScale>
        <cfvo type="min" val="0"/>
        <cfvo type="max" val="0"/>
        <color rgb="FFFFEF9C"/>
        <color rgb="FFFF7128"/>
      </colorScale>
    </cfRule>
  </conditionalFormatting>
  <conditionalFormatting sqref="K2:K32">
    <cfRule type="containsText" dxfId="0" priority="1" operator="containsText" text="Electr">
      <formula>NOT(ISERROR(SEARCH("Electr",K2)))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Handling Missing Values</vt:lpstr>
      <vt:lpstr>Correcting Inconsistent Data</vt:lpstr>
      <vt:lpstr>Removing Duplicates</vt:lpstr>
      <vt:lpstr>Splitting and Merging Data</vt:lpstr>
      <vt:lpstr>Number Formatting</vt:lpstr>
      <vt:lpstr>Conditional Formatting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Lenovo_Pc</dc:creator>
  <cp:lastModifiedBy>Lenovo_Pc</cp:lastModifiedBy>
  <dcterms:created xsi:type="dcterms:W3CDTF">2026-09-02T09:59:00Z</dcterms:created>
  <dcterms:modified xsi:type="dcterms:W3CDTF">2026-09-15T00:39:51Z</dcterms:modified>
</cp:coreProperties>
</file>